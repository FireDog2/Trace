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bda4c8371648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经营明细" sheetId="1" r:id="Ra2aeb4429ee2453c"/>
    <x:sheet xmlns:r="http://schemas.openxmlformats.org/officeDocument/2006/relationships" name="使用说明" sheetId="2" r:id="R1689af3d9fe24f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"/>
    <x:numFmt numFmtId="202" formatCode="¥#,##0;[Red](¥#,##0);-"/>
    <x:numFmt numFmtId="203" formatCode="0.0%"/>
    <x:numFmt numFmtId="204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b/>
      <x:sz val="11"/>
      <x:color rgb="FF115E5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2343B"/>
      </x:patternFill>
    </x:fill>
    <x:fill>
      <x:patternFill patternType="solid">
        <x:fgColor rgb="FFCCFBF1"/>
      </x:patternFill>
    </x:fill>
    <x:fill>
      <x:patternFill patternType="solid">
        <x:fgColor rgb="FF334E57"/>
      </x:patternFill>
    </x:fill>
  </x:fills>
  <x:borders count="10">
    <x:border/>
    <x:border>
      <x:right style="thin">
        <x:color rgb="FFD5DFDC"/>
      </x:right>
      <x:bottom style="thin">
        <x:color rgb="FFD5DFDC"/>
      </x:bottom>
    </x:border>
    <x:border>
      <x:left style="thin">
        <x:color rgb="FFD5DFDC"/>
      </x:left>
      <x:right style="thin">
        <x:color rgb="FFD5DFDC"/>
      </x:right>
      <x:bottom style="thin">
        <x:color rgb="FFD5DFDC"/>
      </x:bottom>
    </x:border>
    <x:border>
      <x:left style="thin">
        <x:color rgb="FFD5DFDC"/>
      </x:left>
      <x:bottom style="thin">
        <x:color rgb="FFD5DFDC"/>
      </x:bottom>
    </x:border>
    <x:border>
      <x:right style="thin">
        <x:color rgb="FFD5DFDC"/>
      </x:right>
      <x:top style="thin">
        <x:color rgb="FFD5DFDC"/>
      </x:top>
      <x:bottom style="thin">
        <x:color rgb="FFD5DFDC"/>
      </x:bottom>
    </x:border>
    <x:border>
      <x:left style="thin">
        <x:color rgb="FFD5DFDC"/>
      </x:left>
      <x:right style="thin">
        <x:color rgb="FFD5DFDC"/>
      </x:right>
      <x:top style="thin">
        <x:color rgb="FFD5DFDC"/>
      </x:top>
      <x:bottom style="thin">
        <x:color rgb="FFD5DFDC"/>
      </x:bottom>
    </x:border>
    <x:border>
      <x:left style="thin">
        <x:color rgb="FFD5DFDC"/>
      </x:left>
      <x:top style="thin">
        <x:color rgb="FFD5DFDC"/>
      </x:top>
      <x:bottom style="thin">
        <x:color rgb="FFD5DFDC"/>
      </x:bottom>
    </x:border>
    <x:border>
      <x:right style="thin">
        <x:color rgb="FFD5DFDC"/>
      </x:right>
      <x:top style="thin">
        <x:color rgb="FFD5DFDC"/>
      </x:top>
    </x:border>
    <x:border>
      <x:left style="thin">
        <x:color rgb="FFD5DFDC"/>
      </x:left>
      <x:right style="thin">
        <x:color rgb="FFD5DFDC"/>
      </x:right>
      <x:top style="thin">
        <x:color rgb="FFD5DFDC"/>
      </x:top>
    </x:border>
    <x:border>
      <x:left style="thin">
        <x:color rgb="FFD5DFDC"/>
      </x:left>
      <x:top style="thin">
        <x:color rgb="FFD5DFDC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1726aa8f4f4632" /><Relationship Type="http://schemas.openxmlformats.org/officeDocument/2006/relationships/theme" Target="/xl/theme/theme1.xml" Id="R8c1b0b2ca7734b2a" /><Relationship Type="http://schemas.openxmlformats.org/officeDocument/2006/relationships/sharedStrings" Target="/xl/sharedStrings.xml" Id="Rf94891707faf4b32" /><Relationship Type="http://schemas.openxmlformats.org/officeDocument/2006/relationships/worksheet" Target="/xl/worksheets/sheet1.xml" Id="Ra2aeb4429ee2453c" /><Relationship Type="http://schemas.openxmlformats.org/officeDocument/2006/relationships/worksheet" Target="/xl/worksheets/sheet2.xml" Id="R1689af3d9fe24f92" /></Relationships>
</file>

<file path=xl/tables/table1.xml><?xml version="1.0" encoding="utf-8"?>
<x:table xmlns:x="http://schemas.openxmlformats.org/spreadsheetml/2006/main" id="1" name="OperationsTable" displayName="OperationsTable" ref="A1:O145" headerRowCount="1" totalsRowCount="0" totalsRowShown="0">
  <x:autoFilter ref="A1:O145"/>
  <x:tableColumns count="15">
    <x:tableColumn id="1" name="month"/>
    <x:tableColumn id="2" name="region"/>
    <x:tableColumn id="3" name="product"/>
    <x:tableColumn id="4" name="channel"/>
    <x:tableColumn id="5" name="orders"/>
    <x:tableColumn id="6" name="units"/>
    <x:tableColumn id="7" name="avg_price"/>
    <x:tableColumn id="8" name="revenue"/>
    <x:tableColumn id="9" name="cogs"/>
    <x:tableColumn id="10" name="logistics_cost"/>
    <x:tableColumn id="11" name="marketing_cost"/>
    <x:tableColumn id="12" name="operating_profit"/>
    <x:tableColumn id="13" name="target_revenue"/>
    <x:tableColumn id="14" name="return_rate"/>
    <x:tableColumn id="15" name="satisfaction_s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521bf6fbbc45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8.75" hidden="0" customWidth="1"/>
    <x:col min="3" max="3" width="11.5" hidden="0" customWidth="1"/>
    <x:col min="4" max="4" width="9" hidden="0" customWidth="1"/>
    <x:col min="5" max="5" width="8.130000114440918" hidden="0" customWidth="1"/>
    <x:col min="6" max="6" width="8.130000114440918" hidden="0" customWidth="1"/>
    <x:col min="7" max="7" width="10.25" hidden="0" customWidth="1"/>
    <x:col min="8" max="8" width="11.880000114440918" hidden="0" customWidth="1"/>
    <x:col min="9" max="9" width="11.5" hidden="0" customWidth="1"/>
    <x:col min="10" max="10" width="13.5" hidden="0" customWidth="1"/>
    <x:col min="11" max="11" width="13.5" hidden="0" customWidth="1"/>
    <x:col min="12" max="12" width="14" hidden="0" customWidth="1"/>
    <x:col min="13" max="13" width="13.130000114440918" hidden="0" customWidth="1"/>
    <x:col min="14" max="14" width="10.25" hidden="0" customWidth="1"/>
    <x:col min="15" max="15" width="14.75" hidden="0" customWidth="1"/>
  </x:cols>
  <x:sheetData>
    <x:row r="1" ht="26" customHeight="1">
      <x:c r="A1" s="3" t="str">
        <x:v>month</x:v>
      </x:c>
      <x:c r="B1" s="3" t="str">
        <x:v>region</x:v>
      </x:c>
      <x:c r="C1" s="3" t="str">
        <x:v>product</x:v>
      </x:c>
      <x:c r="D1" s="3" t="str">
        <x:v>channel</x:v>
      </x:c>
      <x:c r="E1" s="3" t="str">
        <x:v>orders</x:v>
      </x:c>
      <x:c r="F1" s="3" t="str">
        <x:v>units</x:v>
      </x:c>
      <x:c r="G1" s="3" t="str">
        <x:v>avg_price</x:v>
      </x:c>
      <x:c r="H1" s="3" t="str">
        <x:v>revenue</x:v>
      </x:c>
      <x:c r="I1" s="3" t="str">
        <x:v>cogs</x:v>
      </x:c>
      <x:c r="J1" s="3" t="str">
        <x:v>logistics_cost</x:v>
      </x:c>
      <x:c r="K1" s="3" t="str">
        <x:v>marketing_cost</x:v>
      </x:c>
      <x:c r="L1" s="3" t="str">
        <x:v>operating_profit</x:v>
      </x:c>
      <x:c r="M1" s="3" t="str">
        <x:v>target_revenue</x:v>
      </x:c>
      <x:c r="N1" s="3" t="str">
        <x:v>return_rate</x:v>
      </x:c>
      <x:c r="O1" s="3" t="str">
        <x:v>satisfaction_score</x:v>
      </x:c>
    </x:row>
    <x:row r="2">
      <x:c r="A2" s="4" t="n">
        <x:v>45658</x:v>
      </x:c>
      <x:c r="B2" t="str">
        <x:v>华北</x:v>
      </x:c>
      <x:c r="C2" t="str">
        <x:v>智能设备</x:v>
      </x:c>
      <x:c r="D2" t="str">
        <x:v>经销商</x:v>
      </x:c>
      <x:c r="E2" s="5" t="n">
        <x:v>144</x:v>
      </x:c>
      <x:c r="F2" s="5" t="n">
        <x:v>209</x:v>
      </x:c>
      <x:c r="G2" s="6" t="n">
        <x:v>1200</x:v>
      </x:c>
      <x:c r="H2" s="6" t="n">
        <x:v>250800</x:v>
      </x:c>
      <x:c r="I2" s="6" t="n">
        <x:v>145464</x:v>
      </x:c>
      <x:c r="J2" s="6" t="n">
        <x:v>9405</x:v>
      </x:c>
      <x:c r="K2" s="6" t="n">
        <x:v>13794</x:v>
      </x:c>
      <x:c r="L2" s="6" t="n">
        <x:f>H2-I2-J2-K2</x:f>
        <x:v>82137</x:v>
      </x:c>
      <x:c r="M2" s="6" t="n">
        <x:v>260832</x:v>
      </x:c>
      <x:c r="N2" s="7" t="n">
        <x:v>0.022</x:v>
      </x:c>
      <x:c r="O2" s="8" t="n">
        <x:v>89.3</x:v>
      </x:c>
    </x:row>
    <x:row r="3">
      <x:c r="A3" s="4" t="n">
        <x:v>45658</x:v>
      </x:c>
      <x:c r="B3" t="str">
        <x:v>华北</x:v>
      </x:c>
      <x:c r="C3" t="str">
        <x:v>企业服务</x:v>
      </x:c>
      <x:c r="D3" t="str">
        <x:v>经销商</x:v>
      </x:c>
      <x:c r="E3" s="5" t="n">
        <x:v>108</x:v>
      </x:c>
      <x:c r="F3" s="5" t="n">
        <x:v>117</x:v>
      </x:c>
      <x:c r="G3" s="6" t="n">
        <x:v>2400</x:v>
      </x:c>
      <x:c r="H3" s="6" t="n">
        <x:v>280800</x:v>
      </x:c>
      <x:c r="I3" s="6" t="n">
        <x:v>106704</x:v>
      </x:c>
      <x:c r="J3" s="6" t="n">
        <x:v>2340</x:v>
      </x:c>
      <x:c r="K3" s="6" t="n">
        <x:v>17129</x:v>
      </x:c>
      <x:c r="L3" s="6" t="n">
        <x:f>H3-I3-J3-K3</x:f>
        <x:v>154627</x:v>
      </x:c>
      <x:c r="M3" s="6" t="n">
        <x:v>292032</x:v>
      </x:c>
      <x:c r="N3" s="7" t="n">
        <x:v>0.024999999999999998</x:v>
      </x:c>
      <x:c r="O3" s="8" t="n">
        <x:v>88.7</x:v>
      </x:c>
    </x:row>
    <x:row r="4">
      <x:c r="A4" s="4" t="n">
        <x:v>45658</x:v>
      </x:c>
      <x:c r="B4" t="str">
        <x:v>华北</x:v>
      </x:c>
      <x:c r="C4" t="str">
        <x:v>订阅会员</x:v>
      </x:c>
      <x:c r="D4" t="str">
        <x:v>经销商</x:v>
      </x:c>
      <x:c r="E4" s="5" t="n">
        <x:v>122</x:v>
      </x:c>
      <x:c r="F4" s="5" t="n">
        <x:v>177</x:v>
      </x:c>
      <x:c r="G4" s="6" t="n">
        <x:v>300</x:v>
      </x:c>
      <x:c r="H4" s="6" t="n">
        <x:v>53100</x:v>
      </x:c>
      <x:c r="I4" s="6" t="n">
        <x:v>13275</x:v>
      </x:c>
      <x:c r="J4" s="6" t="n">
        <x:v>2124</x:v>
      </x:c>
      <x:c r="K4" s="6" t="n">
        <x:v>3558</x:v>
      </x:c>
      <x:c r="L4" s="6" t="n">
        <x:f>H4-I4-J4-K4</x:f>
        <x:v>34143</x:v>
      </x:c>
      <x:c r="M4" s="6" t="n">
        <x:v>55224</x:v>
      </x:c>
      <x:c r="N4" s="7" t="n">
        <x:v>0.027999999999999997</x:v>
      </x:c>
      <x:c r="O4" s="8" t="n">
        <x:v>88.1</x:v>
      </x:c>
    </x:row>
    <x:row r="5">
      <x:c r="A5" s="4" t="n">
        <x:v>45658</x:v>
      </x:c>
      <x:c r="B5" t="str">
        <x:v>华南</x:v>
      </x:c>
      <x:c r="C5" t="str">
        <x:v>智能设备</x:v>
      </x:c>
      <x:c r="D5" t="str">
        <x:v>线上</x:v>
      </x:c>
      <x:c r="E5" s="5" t="n">
        <x:v>155</x:v>
      </x:c>
      <x:c r="F5" s="5" t="n">
        <x:v>225</x:v>
      </x:c>
      <x:c r="G5" s="6" t="n">
        <x:v>1200</x:v>
      </x:c>
      <x:c r="H5" s="6" t="n">
        <x:v>270000</x:v>
      </x:c>
      <x:c r="I5" s="6" t="n">
        <x:v>156600</x:v>
      </x:c>
      <x:c r="J5" s="6" t="n">
        <x:v>10429</x:v>
      </x:c>
      <x:c r="K5" s="6" t="n">
        <x:v>14850</x:v>
      </x:c>
      <x:c r="L5" s="6" t="n">
        <x:f>H5-I5-J5-K5</x:f>
        <x:v>88121</x:v>
      </x:c>
      <x:c r="M5" s="6" t="n">
        <x:v>280800</x:v>
      </x:c>
      <x:c r="N5" s="7" t="n">
        <x:v>0.024</x:v>
      </x:c>
      <x:c r="O5" s="8" t="n">
        <x:v>88.5</x:v>
      </x:c>
    </x:row>
    <x:row r="6">
      <x:c r="A6" s="4" t="n">
        <x:v>45658</x:v>
      </x:c>
      <x:c r="B6" t="str">
        <x:v>华南</x:v>
      </x:c>
      <x:c r="C6" t="str">
        <x:v>企业服务</x:v>
      </x:c>
      <x:c r="D6" t="str">
        <x:v>线上</x:v>
      </x:c>
      <x:c r="E6" s="5" t="n">
        <x:v>119</x:v>
      </x:c>
      <x:c r="F6" s="5" t="n">
        <x:v>128</x:v>
      </x:c>
      <x:c r="G6" s="6" t="n">
        <x:v>2400</x:v>
      </x:c>
      <x:c r="H6" s="6" t="n">
        <x:v>307200</x:v>
      </x:c>
      <x:c r="I6" s="6" t="n">
        <x:v>116736</x:v>
      </x:c>
      <x:c r="J6" s="6" t="n">
        <x:v>2637</x:v>
      </x:c>
      <x:c r="K6" s="6" t="n">
        <x:v>18739</x:v>
      </x:c>
      <x:c r="L6" s="6" t="n">
        <x:f>H6-I6-J6-K6</x:f>
        <x:v>169088</x:v>
      </x:c>
      <x:c r="M6" s="6" t="n">
        <x:v>319488</x:v>
      </x:c>
      <x:c r="N6" s="7" t="n">
        <x:v>0.027</x:v>
      </x:c>
      <x:c r="O6" s="8" t="n">
        <x:v>87.9</x:v>
      </x:c>
    </x:row>
    <x:row r="7">
      <x:c r="A7" s="4" t="n">
        <x:v>45658</x:v>
      </x:c>
      <x:c r="B7" t="str">
        <x:v>华南</x:v>
      </x:c>
      <x:c r="C7" t="str">
        <x:v>订阅会员</x:v>
      </x:c>
      <x:c r="D7" t="str">
        <x:v>线上</x:v>
      </x:c>
      <x:c r="E7" s="5" t="n">
        <x:v>132</x:v>
      </x:c>
      <x:c r="F7" s="5" t="n">
        <x:v>191</x:v>
      </x:c>
      <x:c r="G7" s="6" t="n">
        <x:v>300</x:v>
      </x:c>
      <x:c r="H7" s="6" t="n">
        <x:v>57300</x:v>
      </x:c>
      <x:c r="I7" s="6" t="n">
        <x:v>14325</x:v>
      </x:c>
      <x:c r="J7" s="6" t="n">
        <x:v>2361</x:v>
      </x:c>
      <x:c r="K7" s="6" t="n">
        <x:v>3839</x:v>
      </x:c>
      <x:c r="L7" s="6" t="n">
        <x:f>H7-I7-J7-K7</x:f>
        <x:v>36775</x:v>
      </x:c>
      <x:c r="M7" s="6" t="n">
        <x:v>59592</x:v>
      </x:c>
      <x:c r="N7" s="7" t="n">
        <x:v>0.03</x:v>
      </x:c>
      <x:c r="O7" s="8" t="n">
        <x:v>87.3</x:v>
      </x:c>
    </x:row>
    <x:row r="8">
      <x:c r="A8" s="4" t="n">
        <x:v>45658</x:v>
      </x:c>
      <x:c r="B8" t="str">
        <x:v>华东</x:v>
      </x:c>
      <x:c r="C8" t="str">
        <x:v>智能设备</x:v>
      </x:c>
      <x:c r="D8" t="str">
        <x:v>直营</x:v>
      </x:c>
      <x:c r="E8" s="5" t="n">
        <x:v>181</x:v>
      </x:c>
      <x:c r="F8" s="5" t="n">
        <x:v>263</x:v>
      </x:c>
      <x:c r="G8" s="6" t="n">
        <x:v>1200</x:v>
      </x:c>
      <x:c r="H8" s="6" t="n">
        <x:v>315600</x:v>
      </x:c>
      <x:c r="I8" s="6" t="n">
        <x:v>183048</x:v>
      </x:c>
      <x:c r="J8" s="6" t="n">
        <x:v>12545</x:v>
      </x:c>
      <x:c r="K8" s="6" t="n">
        <x:v>17358</x:v>
      </x:c>
      <x:c r="L8" s="6" t="n">
        <x:f>H8-I8-J8-K8</x:f>
        <x:v>102649</x:v>
      </x:c>
      <x:c r="M8" s="6" t="n">
        <x:v>328224</x:v>
      </x:c>
      <x:c r="N8" s="7" t="n">
        <x:v>0.026</x:v>
      </x:c>
      <x:c r="O8" s="8" t="n">
        <x:v>87.7</x:v>
      </x:c>
    </x:row>
    <x:row r="9">
      <x:c r="A9" s="4" t="n">
        <x:v>45658</x:v>
      </x:c>
      <x:c r="B9" t="str">
        <x:v>华东</x:v>
      </x:c>
      <x:c r="C9" t="str">
        <x:v>企业服务</x:v>
      </x:c>
      <x:c r="D9" t="str">
        <x:v>直营</x:v>
      </x:c>
      <x:c r="E9" s="5" t="n">
        <x:v>140</x:v>
      </x:c>
      <x:c r="F9" s="5" t="n">
        <x:v>151</x:v>
      </x:c>
      <x:c r="G9" s="6" t="n">
        <x:v>2400</x:v>
      </x:c>
      <x:c r="H9" s="6" t="n">
        <x:v>362400</x:v>
      </x:c>
      <x:c r="I9" s="6" t="n">
        <x:v>137712</x:v>
      </x:c>
      <x:c r="J9" s="6" t="n">
        <x:v>3201</x:v>
      </x:c>
      <x:c r="K9" s="6" t="n">
        <x:v>22106</x:v>
      </x:c>
      <x:c r="L9" s="6" t="n">
        <x:f>H9-I9-J9-K9</x:f>
        <x:v>199381</x:v>
      </x:c>
      <x:c r="M9" s="6" t="n">
        <x:v>376896</x:v>
      </x:c>
      <x:c r="N9" s="7" t="n">
        <x:v>0.028999999999999998</x:v>
      </x:c>
      <x:c r="O9" s="8" t="n">
        <x:v>87.1</x:v>
      </x:c>
    </x:row>
    <x:row r="10">
      <x:c r="A10" s="4" t="n">
        <x:v>45658</x:v>
      </x:c>
      <x:c r="B10" t="str">
        <x:v>华东</x:v>
      </x:c>
      <x:c r="C10" t="str">
        <x:v>订阅会员</x:v>
      </x:c>
      <x:c r="D10" t="str">
        <x:v>直营</x:v>
      </x:c>
      <x:c r="E10" s="5" t="n">
        <x:v>154</x:v>
      </x:c>
      <x:c r="F10" s="5" t="n">
        <x:v>223</x:v>
      </x:c>
      <x:c r="G10" s="6" t="n">
        <x:v>300</x:v>
      </x:c>
      <x:c r="H10" s="6" t="n">
        <x:v>66900</x:v>
      </x:c>
      <x:c r="I10" s="6" t="n">
        <x:v>16725</x:v>
      </x:c>
      <x:c r="J10" s="6" t="n">
        <x:v>2837</x:v>
      </x:c>
      <x:c r="K10" s="6" t="n">
        <x:v>4482</x:v>
      </x:c>
      <x:c r="L10" s="6" t="n">
        <x:f>H10-I10-J10-K10</x:f>
        <x:v>42856</x:v>
      </x:c>
      <x:c r="M10" s="6" t="n">
        <x:v>69576</x:v>
      </x:c>
      <x:c r="N10" s="7" t="n">
        <x:v>0.032</x:v>
      </x:c>
      <x:c r="O10" s="8" t="n">
        <x:v>86.5</x:v>
      </x:c>
    </x:row>
    <x:row r="11">
      <x:c r="A11" s="4" t="n">
        <x:v>45658</x:v>
      </x:c>
      <x:c r="B11" t="str">
        <x:v>西部</x:v>
      </x:c>
      <x:c r="C11" t="str">
        <x:v>智能设备</x:v>
      </x:c>
      <x:c r="D11" t="str">
        <x:v>经销商</x:v>
      </x:c>
      <x:c r="E11" s="5" t="n">
        <x:v>144</x:v>
      </x:c>
      <x:c r="F11" s="5" t="n">
        <x:v>209</x:v>
      </x:c>
      <x:c r="G11" s="6" t="n">
        <x:v>1200</x:v>
      </x:c>
      <x:c r="H11" s="6" t="n">
        <x:v>250800</x:v>
      </x:c>
      <x:c r="I11" s="6" t="n">
        <x:v>145464</x:v>
      </x:c>
      <x:c r="J11" s="6" t="n">
        <x:v>10251</x:v>
      </x:c>
      <x:c r="K11" s="6" t="n">
        <x:v>13794</x:v>
      </x:c>
      <x:c r="L11" s="6" t="n">
        <x:f>H11-I11-J11-K11</x:f>
        <x:v>81291</x:v>
      </x:c>
      <x:c r="M11" s="6" t="n">
        <x:v>260832</x:v>
      </x:c>
      <x:c r="N11" s="7" t="n">
        <x:v>0.027999999999999997</x:v>
      </x:c>
      <x:c r="O11" s="8" t="n">
        <x:v>86.9</x:v>
      </x:c>
    </x:row>
    <x:row r="12">
      <x:c r="A12" s="4" t="n">
        <x:v>45658</x:v>
      </x:c>
      <x:c r="B12" t="str">
        <x:v>西部</x:v>
      </x:c>
      <x:c r="C12" t="str">
        <x:v>企业服务</x:v>
      </x:c>
      <x:c r="D12" t="str">
        <x:v>经销商</x:v>
      </x:c>
      <x:c r="E12" s="5" t="n">
        <x:v>115</x:v>
      </x:c>
      <x:c r="F12" s="5" t="n">
        <x:v>124</x:v>
      </x:c>
      <x:c r="G12" s="6" t="n">
        <x:v>2400</x:v>
      </x:c>
      <x:c r="H12" s="6" t="n">
        <x:v>297600</x:v>
      </x:c>
      <x:c r="I12" s="6" t="n">
        <x:v>113088</x:v>
      </x:c>
      <x:c r="J12" s="6" t="n">
        <x:v>2703</x:v>
      </x:c>
      <x:c r="K12" s="6" t="n">
        <x:v>18154</x:v>
      </x:c>
      <x:c r="L12" s="6" t="n">
        <x:f>H12-I12-J12-K12</x:f>
        <x:v>163655</x:v>
      </x:c>
      <x:c r="M12" s="6" t="n">
        <x:v>309504</x:v>
      </x:c>
      <x:c r="N12" s="7" t="n">
        <x:v>0.030999999999999996</x:v>
      </x:c>
      <x:c r="O12" s="8" t="n">
        <x:v>86.3</x:v>
      </x:c>
    </x:row>
    <x:row r="13">
      <x:c r="A13" s="4" t="n">
        <x:v>45658</x:v>
      </x:c>
      <x:c r="B13" t="str">
        <x:v>西部</x:v>
      </x:c>
      <x:c r="C13" t="str">
        <x:v>订阅会员</x:v>
      </x:c>
      <x:c r="D13" t="str">
        <x:v>经销商</x:v>
      </x:c>
      <x:c r="E13" s="5" t="n">
        <x:v>123</x:v>
      </x:c>
      <x:c r="F13" s="5" t="n">
        <x:v>179</x:v>
      </x:c>
      <x:c r="G13" s="6" t="n">
        <x:v>300</x:v>
      </x:c>
      <x:c r="H13" s="6" t="n">
        <x:v>53700</x:v>
      </x:c>
      <x:c r="I13" s="6" t="n">
        <x:v>13425</x:v>
      </x:c>
      <x:c r="J13" s="6" t="n">
        <x:v>2341</x:v>
      </x:c>
      <x:c r="K13" s="6" t="n">
        <x:v>3598</x:v>
      </x:c>
      <x:c r="L13" s="6" t="n">
        <x:f>H13-I13-J13-K13</x:f>
        <x:v>34336</x:v>
      </x:c>
      <x:c r="M13" s="6" t="n">
        <x:v>55848</x:v>
      </x:c>
      <x:c r="N13" s="7" t="n">
        <x:v>0.033999999999999996</x:v>
      </x:c>
      <x:c r="O13" s="8" t="n">
        <x:v>85.7</x:v>
      </x:c>
    </x:row>
    <x:row r="14">
      <x:c r="A14" s="4" t="n">
        <x:v>45689</x:v>
      </x:c>
      <x:c r="B14" t="str">
        <x:v>华北</x:v>
      </x:c>
      <x:c r="C14" t="str">
        <x:v>智能设备</x:v>
      </x:c>
      <x:c r="D14" t="str">
        <x:v>经销商</x:v>
      </x:c>
      <x:c r="E14" s="5" t="n">
        <x:v>147</x:v>
      </x:c>
      <x:c r="F14" s="5" t="n">
        <x:v>213</x:v>
      </x:c>
      <x:c r="G14" s="6" t="n">
        <x:v>1200</x:v>
      </x:c>
      <x:c r="H14" s="6" t="n">
        <x:v>255600</x:v>
      </x:c>
      <x:c r="I14" s="6" t="n">
        <x:v>148248</x:v>
      </x:c>
      <x:c r="J14" s="6" t="n">
        <x:v>9585</x:v>
      </x:c>
      <x:c r="K14" s="6" t="n">
        <x:v>14058</x:v>
      </x:c>
      <x:c r="L14" s="6" t="n">
        <x:f>H14-I14-J14-K14</x:f>
        <x:v>83709</x:v>
      </x:c>
      <x:c r="M14" s="6" t="n">
        <x:v>265824</x:v>
      </x:c>
      <x:c r="N14" s="7" t="n">
        <x:v>0.022</x:v>
      </x:c>
      <x:c r="O14" s="8" t="n">
        <x:v>89.6</x:v>
      </x:c>
    </x:row>
    <x:row r="15">
      <x:c r="A15" s="4" t="n">
        <x:v>45689</x:v>
      </x:c>
      <x:c r="B15" t="str">
        <x:v>华北</x:v>
      </x:c>
      <x:c r="C15" t="str">
        <x:v>企业服务</x:v>
      </x:c>
      <x:c r="D15" t="str">
        <x:v>经销商</x:v>
      </x:c>
      <x:c r="E15" s="5" t="n">
        <x:v>110</x:v>
      </x:c>
      <x:c r="F15" s="5" t="n">
        <x:v>119</x:v>
      </x:c>
      <x:c r="G15" s="6" t="n">
        <x:v>2400</x:v>
      </x:c>
      <x:c r="H15" s="6" t="n">
        <x:v>285600</x:v>
      </x:c>
      <x:c r="I15" s="6" t="n">
        <x:v>108528</x:v>
      </x:c>
      <x:c r="J15" s="6" t="n">
        <x:v>2380</x:v>
      </x:c>
      <x:c r="K15" s="6" t="n">
        <x:v>17422</x:v>
      </x:c>
      <x:c r="L15" s="6" t="n">
        <x:f>H15-I15-J15-K15</x:f>
        <x:v>157270</x:v>
      </x:c>
      <x:c r="M15" s="6" t="n">
        <x:v>297024</x:v>
      </x:c>
      <x:c r="N15" s="7" t="n">
        <x:v>0.024999999999999998</x:v>
      </x:c>
      <x:c r="O15" s="8" t="n">
        <x:v>89</x:v>
      </x:c>
    </x:row>
    <x:row r="16">
      <x:c r="A16" s="4" t="n">
        <x:v>45689</x:v>
      </x:c>
      <x:c r="B16" t="str">
        <x:v>华北</x:v>
      </x:c>
      <x:c r="C16" t="str">
        <x:v>订阅会员</x:v>
      </x:c>
      <x:c r="D16" t="str">
        <x:v>经销商</x:v>
      </x:c>
      <x:c r="E16" s="5" t="n">
        <x:v>124</x:v>
      </x:c>
      <x:c r="F16" s="5" t="n">
        <x:v>180</x:v>
      </x:c>
      <x:c r="G16" s="6" t="n">
        <x:v>300</x:v>
      </x:c>
      <x:c r="H16" s="6" t="n">
        <x:v>54000</x:v>
      </x:c>
      <x:c r="I16" s="6" t="n">
        <x:v>13500</x:v>
      </x:c>
      <x:c r="J16" s="6" t="n">
        <x:v>2160</x:v>
      </x:c>
      <x:c r="K16" s="6" t="n">
        <x:v>3618</x:v>
      </x:c>
      <x:c r="L16" s="6" t="n">
        <x:f>H16-I16-J16-K16</x:f>
        <x:v>34722</x:v>
      </x:c>
      <x:c r="M16" s="6" t="n">
        <x:v>56160</x:v>
      </x:c>
      <x:c r="N16" s="7" t="n">
        <x:v>0.027999999999999997</x:v>
      </x:c>
      <x:c r="O16" s="8" t="n">
        <x:v>88.4</x:v>
      </x:c>
    </x:row>
    <x:row r="17">
      <x:c r="A17" s="4" t="n">
        <x:v>45689</x:v>
      </x:c>
      <x:c r="B17" t="str">
        <x:v>华南</x:v>
      </x:c>
      <x:c r="C17" t="str">
        <x:v>智能设备</x:v>
      </x:c>
      <x:c r="D17" t="str">
        <x:v>线上</x:v>
      </x:c>
      <x:c r="E17" s="5" t="n">
        <x:v>158</x:v>
      </x:c>
      <x:c r="F17" s="5" t="n">
        <x:v>229</x:v>
      </x:c>
      <x:c r="G17" s="6" t="n">
        <x:v>1200</x:v>
      </x:c>
      <x:c r="H17" s="6" t="n">
        <x:v>274800</x:v>
      </x:c>
      <x:c r="I17" s="6" t="n">
        <x:v>159384</x:v>
      </x:c>
      <x:c r="J17" s="6" t="n">
        <x:v>10614</x:v>
      </x:c>
      <x:c r="K17" s="6" t="n">
        <x:v>15114</x:v>
      </x:c>
      <x:c r="L17" s="6" t="n">
        <x:f>H17-I17-J17-K17</x:f>
        <x:v>89688</x:v>
      </x:c>
      <x:c r="M17" s="6" t="n">
        <x:v>285792</x:v>
      </x:c>
      <x:c r="N17" s="7" t="n">
        <x:v>0.024</x:v>
      </x:c>
      <x:c r="O17" s="8" t="n">
        <x:v>88.8</x:v>
      </x:c>
    </x:row>
    <x:row r="18">
      <x:c r="A18" s="4" t="n">
        <x:v>45689</x:v>
      </x:c>
      <x:c r="B18" t="str">
        <x:v>华南</x:v>
      </x:c>
      <x:c r="C18" t="str">
        <x:v>企业服务</x:v>
      </x:c>
      <x:c r="D18" t="str">
        <x:v>线上</x:v>
      </x:c>
      <x:c r="E18" s="5" t="n">
        <x:v>120</x:v>
      </x:c>
      <x:c r="F18" s="5" t="n">
        <x:v>130</x:v>
      </x:c>
      <x:c r="G18" s="6" t="n">
        <x:v>2400</x:v>
      </x:c>
      <x:c r="H18" s="6" t="n">
        <x:v>312000</x:v>
      </x:c>
      <x:c r="I18" s="6" t="n">
        <x:v>118560</x:v>
      </x:c>
      <x:c r="J18" s="6" t="n">
        <x:v>2678</x:v>
      </x:c>
      <x:c r="K18" s="6" t="n">
        <x:v>19032</x:v>
      </x:c>
      <x:c r="L18" s="6" t="n">
        <x:f>H18-I18-J18-K18</x:f>
        <x:v>171730</x:v>
      </x:c>
      <x:c r="M18" s="6" t="n">
        <x:v>324480</x:v>
      </x:c>
      <x:c r="N18" s="7" t="n">
        <x:v>0.027</x:v>
      </x:c>
      <x:c r="O18" s="8" t="n">
        <x:v>88.2</x:v>
      </x:c>
    </x:row>
    <x:row r="19">
      <x:c r="A19" s="4" t="n">
        <x:v>45689</x:v>
      </x:c>
      <x:c r="B19" t="str">
        <x:v>华南</x:v>
      </x:c>
      <x:c r="C19" t="str">
        <x:v>订阅会员</x:v>
      </x:c>
      <x:c r="D19" t="str">
        <x:v>线上</x:v>
      </x:c>
      <x:c r="E19" s="5" t="n">
        <x:v>134</x:v>
      </x:c>
      <x:c r="F19" s="5" t="n">
        <x:v>194</x:v>
      </x:c>
      <x:c r="G19" s="6" t="n">
        <x:v>300</x:v>
      </x:c>
      <x:c r="H19" s="6" t="n">
        <x:v>58200</x:v>
      </x:c>
      <x:c r="I19" s="6" t="n">
        <x:v>14550</x:v>
      </x:c>
      <x:c r="J19" s="6" t="n">
        <x:v>2398</x:v>
      </x:c>
      <x:c r="K19" s="6" t="n">
        <x:v>3899</x:v>
      </x:c>
      <x:c r="L19" s="6" t="n">
        <x:f>H19-I19-J19-K19</x:f>
        <x:v>37353</x:v>
      </x:c>
      <x:c r="M19" s="6" t="n">
        <x:v>60528</x:v>
      </x:c>
      <x:c r="N19" s="7" t="n">
        <x:v>0.03</x:v>
      </x:c>
      <x:c r="O19" s="8" t="n">
        <x:v>87.6</x:v>
      </x:c>
    </x:row>
    <x:row r="20">
      <x:c r="A20" s="4" t="n">
        <x:v>45689</x:v>
      </x:c>
      <x:c r="B20" t="str">
        <x:v>华东</x:v>
      </x:c>
      <x:c r="C20" t="str">
        <x:v>智能设备</x:v>
      </x:c>
      <x:c r="D20" t="str">
        <x:v>直营</x:v>
      </x:c>
      <x:c r="E20" s="5" t="n">
        <x:v>185</x:v>
      </x:c>
      <x:c r="F20" s="5" t="n">
        <x:v>268</x:v>
      </x:c>
      <x:c r="G20" s="6" t="n">
        <x:v>1200</x:v>
      </x:c>
      <x:c r="H20" s="6" t="n">
        <x:v>321600</x:v>
      </x:c>
      <x:c r="I20" s="6" t="n">
        <x:v>186528</x:v>
      </x:c>
      <x:c r="J20" s="6" t="n">
        <x:v>12784</x:v>
      </x:c>
      <x:c r="K20" s="6" t="n">
        <x:v>17688</x:v>
      </x:c>
      <x:c r="L20" s="6" t="n">
        <x:f>H20-I20-J20-K20</x:f>
        <x:v>104600</x:v>
      </x:c>
      <x:c r="M20" s="6" t="n">
        <x:v>334464</x:v>
      </x:c>
      <x:c r="N20" s="7" t="n">
        <x:v>0.026</x:v>
      </x:c>
      <x:c r="O20" s="8" t="n">
        <x:v>88</x:v>
      </x:c>
    </x:row>
    <x:row r="21">
      <x:c r="A21" s="4" t="n">
        <x:v>45689</x:v>
      </x:c>
      <x:c r="B21" t="str">
        <x:v>华东</x:v>
      </x:c>
      <x:c r="C21" t="str">
        <x:v>企业服务</x:v>
      </x:c>
      <x:c r="D21" t="str">
        <x:v>直营</x:v>
      </x:c>
      <x:c r="E21" s="5" t="n">
        <x:v>142</x:v>
      </x:c>
      <x:c r="F21" s="5" t="n">
        <x:v>153</x:v>
      </x:c>
      <x:c r="G21" s="6" t="n">
        <x:v>2400</x:v>
      </x:c>
      <x:c r="H21" s="6" t="n">
        <x:v>367200</x:v>
      </x:c>
      <x:c r="I21" s="6" t="n">
        <x:v>139536</x:v>
      </x:c>
      <x:c r="J21" s="6" t="n">
        <x:v>3244</x:v>
      </x:c>
      <x:c r="K21" s="6" t="n">
        <x:v>22399</x:v>
      </x:c>
      <x:c r="L21" s="6" t="n">
        <x:f>H21-I21-J21-K21</x:f>
        <x:v>202021</x:v>
      </x:c>
      <x:c r="M21" s="6" t="n">
        <x:v>381888</x:v>
      </x:c>
      <x:c r="N21" s="7" t="n">
        <x:v>0.028999999999999998</x:v>
      </x:c>
      <x:c r="O21" s="8" t="n">
        <x:v>87.4</x:v>
      </x:c>
    </x:row>
    <x:row r="22">
      <x:c r="A22" s="4" t="n">
        <x:v>45689</x:v>
      </x:c>
      <x:c r="B22" t="str">
        <x:v>华东</x:v>
      </x:c>
      <x:c r="C22" t="str">
        <x:v>订阅会员</x:v>
      </x:c>
      <x:c r="D22" t="str">
        <x:v>直营</x:v>
      </x:c>
      <x:c r="E22" s="5" t="n">
        <x:v>157</x:v>
      </x:c>
      <x:c r="F22" s="5" t="n">
        <x:v>227</x:v>
      </x:c>
      <x:c r="G22" s="6" t="n">
        <x:v>300</x:v>
      </x:c>
      <x:c r="H22" s="6" t="n">
        <x:v>68100</x:v>
      </x:c>
      <x:c r="I22" s="6" t="n">
        <x:v>17025</x:v>
      </x:c>
      <x:c r="J22" s="6" t="n">
        <x:v>2887</x:v>
      </x:c>
      <x:c r="K22" s="6" t="n">
        <x:v>4563</x:v>
      </x:c>
      <x:c r="L22" s="6" t="n">
        <x:f>H22-I22-J22-K22</x:f>
        <x:v>43625</x:v>
      </x:c>
      <x:c r="M22" s="6" t="n">
        <x:v>70824</x:v>
      </x:c>
      <x:c r="N22" s="7" t="n">
        <x:v>0.032</x:v>
      </x:c>
      <x:c r="O22" s="8" t="n">
        <x:v>86.8</x:v>
      </x:c>
    </x:row>
    <x:row r="23">
      <x:c r="A23" s="4" t="n">
        <x:v>45689</x:v>
      </x:c>
      <x:c r="B23" t="str">
        <x:v>西部</x:v>
      </x:c>
      <x:c r="C23" t="str">
        <x:v>智能设备</x:v>
      </x:c>
      <x:c r="D23" t="str">
        <x:v>经销商</x:v>
      </x:c>
      <x:c r="E23" s="5" t="n">
        <x:v>146</x:v>
      </x:c>
      <x:c r="F23" s="5" t="n">
        <x:v>212</x:v>
      </x:c>
      <x:c r="G23" s="6" t="n">
        <x:v>1200</x:v>
      </x:c>
      <x:c r="H23" s="6" t="n">
        <x:v>254400</x:v>
      </x:c>
      <x:c r="I23" s="6" t="n">
        <x:v>147552</x:v>
      </x:c>
      <x:c r="J23" s="6" t="n">
        <x:v>10399</x:v>
      </x:c>
      <x:c r="K23" s="6" t="n">
        <x:v>13992</x:v>
      </x:c>
      <x:c r="L23" s="6" t="n">
        <x:f>H23-I23-J23-K23</x:f>
        <x:v>82457</x:v>
      </x:c>
      <x:c r="M23" s="6" t="n">
        <x:v>264576</x:v>
      </x:c>
      <x:c r="N23" s="7" t="n">
        <x:v>0.027999999999999997</x:v>
      </x:c>
      <x:c r="O23" s="8" t="n">
        <x:v>87.2</x:v>
      </x:c>
    </x:row>
    <x:row r="24">
      <x:c r="A24" s="4" t="n">
        <x:v>45689</x:v>
      </x:c>
      <x:c r="B24" t="str">
        <x:v>西部</x:v>
      </x:c>
      <x:c r="C24" t="str">
        <x:v>企业服务</x:v>
      </x:c>
      <x:c r="D24" t="str">
        <x:v>经销商</x:v>
      </x:c>
      <x:c r="E24" s="5" t="n">
        <x:v>117</x:v>
      </x:c>
      <x:c r="F24" s="5" t="n">
        <x:v>126</x:v>
      </x:c>
      <x:c r="G24" s="6" t="n">
        <x:v>2400</x:v>
      </x:c>
      <x:c r="H24" s="6" t="n">
        <x:v>302400</x:v>
      </x:c>
      <x:c r="I24" s="6" t="n">
        <x:v>114912</x:v>
      </x:c>
      <x:c r="J24" s="6" t="n">
        <x:v>2747</x:v>
      </x:c>
      <x:c r="K24" s="6" t="n">
        <x:v>18446</x:v>
      </x:c>
      <x:c r="L24" s="6" t="n">
        <x:f>H24-I24-J24-K24</x:f>
        <x:v>166295</x:v>
      </x:c>
      <x:c r="M24" s="6" t="n">
        <x:v>314496</x:v>
      </x:c>
      <x:c r="N24" s="7" t="n">
        <x:v>0.030999999999999996</x:v>
      </x:c>
      <x:c r="O24" s="8" t="n">
        <x:v>86.6</x:v>
      </x:c>
    </x:row>
    <x:row r="25">
      <x:c r="A25" s="4" t="n">
        <x:v>45689</x:v>
      </x:c>
      <x:c r="B25" t="str">
        <x:v>西部</x:v>
      </x:c>
      <x:c r="C25" t="str">
        <x:v>订阅会员</x:v>
      </x:c>
      <x:c r="D25" t="str">
        <x:v>经销商</x:v>
      </x:c>
      <x:c r="E25" s="5" t="n">
        <x:v>126</x:v>
      </x:c>
      <x:c r="F25" s="5" t="n">
        <x:v>182</x:v>
      </x:c>
      <x:c r="G25" s="6" t="n">
        <x:v>300</x:v>
      </x:c>
      <x:c r="H25" s="6" t="n">
        <x:v>54600</x:v>
      </x:c>
      <x:c r="I25" s="6" t="n">
        <x:v>13650</x:v>
      </x:c>
      <x:c r="J25" s="6" t="n">
        <x:v>2381</x:v>
      </x:c>
      <x:c r="K25" s="6" t="n">
        <x:v>3658</x:v>
      </x:c>
      <x:c r="L25" s="6" t="n">
        <x:f>H25-I25-J25-K25</x:f>
        <x:v>34911</x:v>
      </x:c>
      <x:c r="M25" s="6" t="n">
        <x:v>56784</x:v>
      </x:c>
      <x:c r="N25" s="7" t="n">
        <x:v>0.033999999999999996</x:v>
      </x:c>
      <x:c r="O25" s="8" t="n">
        <x:v>86</x:v>
      </x:c>
    </x:row>
    <x:row r="26">
      <x:c r="A26" s="4" t="n">
        <x:v>45717</x:v>
      </x:c>
      <x:c r="B26" t="str">
        <x:v>华北</x:v>
      </x:c>
      <x:c r="C26" t="str">
        <x:v>智能设备</x:v>
      </x:c>
      <x:c r="D26" t="str">
        <x:v>经销商</x:v>
      </x:c>
      <x:c r="E26" s="5" t="n">
        <x:v>150</x:v>
      </x:c>
      <x:c r="F26" s="5" t="n">
        <x:v>217</x:v>
      </x:c>
      <x:c r="G26" s="6" t="n">
        <x:v>1200</x:v>
      </x:c>
      <x:c r="H26" s="6" t="n">
        <x:v>260400</x:v>
      </x:c>
      <x:c r="I26" s="6" t="n">
        <x:v>151032</x:v>
      </x:c>
      <x:c r="J26" s="6" t="n">
        <x:v>9765</x:v>
      </x:c>
      <x:c r="K26" s="6" t="n">
        <x:v>14322</x:v>
      </x:c>
      <x:c r="L26" s="6" t="n">
        <x:f>H26-I26-J26-K26</x:f>
        <x:v>85281</x:v>
      </x:c>
      <x:c r="M26" s="6" t="n">
        <x:v>270816</x:v>
      </x:c>
      <x:c r="N26" s="7" t="n">
        <x:v>0.022</x:v>
      </x:c>
      <x:c r="O26" s="8" t="n">
        <x:v>89</x:v>
      </x:c>
    </x:row>
    <x:row r="27">
      <x:c r="A27" s="4" t="n">
        <x:v>45717</x:v>
      </x:c>
      <x:c r="B27" t="str">
        <x:v>华北</x:v>
      </x:c>
      <x:c r="C27" t="str">
        <x:v>企业服务</x:v>
      </x:c>
      <x:c r="D27" t="str">
        <x:v>经销商</x:v>
      </x:c>
      <x:c r="E27" s="5" t="n">
        <x:v>112</x:v>
      </x:c>
      <x:c r="F27" s="5" t="n">
        <x:v>121</x:v>
      </x:c>
      <x:c r="G27" s="6" t="n">
        <x:v>2400</x:v>
      </x:c>
      <x:c r="H27" s="6" t="n">
        <x:v>290400</x:v>
      </x:c>
      <x:c r="I27" s="6" t="n">
        <x:v>110352</x:v>
      </x:c>
      <x:c r="J27" s="6" t="n">
        <x:v>2420</x:v>
      </x:c>
      <x:c r="K27" s="6" t="n">
        <x:v>17714</x:v>
      </x:c>
      <x:c r="L27" s="6" t="n">
        <x:f>H27-I27-J27-K27</x:f>
        <x:v>159914</x:v>
      </x:c>
      <x:c r="M27" s="6" t="n">
        <x:v>302016</x:v>
      </x:c>
      <x:c r="N27" s="7" t="n">
        <x:v>0.024999999999999998</x:v>
      </x:c>
      <x:c r="O27" s="8" t="n">
        <x:v>88.4</x:v>
      </x:c>
    </x:row>
    <x:row r="28">
      <x:c r="A28" s="4" t="n">
        <x:v>45717</x:v>
      </x:c>
      <x:c r="B28" t="str">
        <x:v>华北</x:v>
      </x:c>
      <x:c r="C28" t="str">
        <x:v>订阅会员</x:v>
      </x:c>
      <x:c r="D28" t="str">
        <x:v>经销商</x:v>
      </x:c>
      <x:c r="E28" s="5" t="n">
        <x:v>126</x:v>
      </x:c>
      <x:c r="F28" s="5" t="n">
        <x:v>183</x:v>
      </x:c>
      <x:c r="G28" s="6" t="n">
        <x:v>300</x:v>
      </x:c>
      <x:c r="H28" s="6" t="n">
        <x:v>54900</x:v>
      </x:c>
      <x:c r="I28" s="6" t="n">
        <x:v>13725</x:v>
      </x:c>
      <x:c r="J28" s="6" t="n">
        <x:v>2196</x:v>
      </x:c>
      <x:c r="K28" s="6" t="n">
        <x:v>3678</x:v>
      </x:c>
      <x:c r="L28" s="6" t="n">
        <x:f>H28-I28-J28-K28</x:f>
        <x:v>35301</x:v>
      </x:c>
      <x:c r="M28" s="6" t="n">
        <x:v>57096</x:v>
      </x:c>
      <x:c r="N28" s="7" t="n">
        <x:v>0.027999999999999997</x:v>
      </x:c>
      <x:c r="O28" s="8" t="n">
        <x:v>87.8</x:v>
      </x:c>
    </x:row>
    <x:row r="29">
      <x:c r="A29" s="4" t="n">
        <x:v>45717</x:v>
      </x:c>
      <x:c r="B29" t="str">
        <x:v>华南</x:v>
      </x:c>
      <x:c r="C29" t="str">
        <x:v>智能设备</x:v>
      </x:c>
      <x:c r="D29" t="str">
        <x:v>线上</x:v>
      </x:c>
      <x:c r="E29" s="5" t="n">
        <x:v>161</x:v>
      </x:c>
      <x:c r="F29" s="5" t="n">
        <x:v>233</x:v>
      </x:c>
      <x:c r="G29" s="6" t="n">
        <x:v>1200</x:v>
      </x:c>
      <x:c r="H29" s="6" t="n">
        <x:v>279600</x:v>
      </x:c>
      <x:c r="I29" s="6" t="n">
        <x:v>162168</x:v>
      </x:c>
      <x:c r="J29" s="6" t="n">
        <x:v>10800</x:v>
      </x:c>
      <x:c r="K29" s="6" t="n">
        <x:v>15378</x:v>
      </x:c>
      <x:c r="L29" s="6" t="n">
        <x:f>H29-I29-J29-K29</x:f>
        <x:v>91254</x:v>
      </x:c>
      <x:c r="M29" s="6" t="n">
        <x:v>290784</x:v>
      </x:c>
      <x:c r="N29" s="7" t="n">
        <x:v>0.024</x:v>
      </x:c>
      <x:c r="O29" s="8" t="n">
        <x:v>88.2</x:v>
      </x:c>
    </x:row>
    <x:row r="30">
      <x:c r="A30" s="4" t="n">
        <x:v>45717</x:v>
      </x:c>
      <x:c r="B30" t="str">
        <x:v>华南</x:v>
      </x:c>
      <x:c r="C30" t="str">
        <x:v>企业服务</x:v>
      </x:c>
      <x:c r="D30" t="str">
        <x:v>线上</x:v>
      </x:c>
      <x:c r="E30" s="5" t="n">
        <x:v>122</x:v>
      </x:c>
      <x:c r="F30" s="5" t="n">
        <x:v>132</x:v>
      </x:c>
      <x:c r="G30" s="6" t="n">
        <x:v>2400</x:v>
      </x:c>
      <x:c r="H30" s="6" t="n">
        <x:v>316800</x:v>
      </x:c>
      <x:c r="I30" s="6" t="n">
        <x:v>120384</x:v>
      </x:c>
      <x:c r="J30" s="6" t="n">
        <x:v>2719</x:v>
      </x:c>
      <x:c r="K30" s="6" t="n">
        <x:v>19325</x:v>
      </x:c>
      <x:c r="L30" s="6" t="n">
        <x:f>H30-I30-J30-K30</x:f>
        <x:v>174372</x:v>
      </x:c>
      <x:c r="M30" s="6" t="n">
        <x:v>329472</x:v>
      </x:c>
      <x:c r="N30" s="7" t="n">
        <x:v>0.027</x:v>
      </x:c>
      <x:c r="O30" s="8" t="n">
        <x:v>87.6</x:v>
      </x:c>
    </x:row>
    <x:row r="31">
      <x:c r="A31" s="4" t="n">
        <x:v>45717</x:v>
      </x:c>
      <x:c r="B31" t="str">
        <x:v>华南</x:v>
      </x:c>
      <x:c r="C31" t="str">
        <x:v>订阅会员</x:v>
      </x:c>
      <x:c r="D31" t="str">
        <x:v>线上</x:v>
      </x:c>
      <x:c r="E31" s="5" t="n">
        <x:v>136</x:v>
      </x:c>
      <x:c r="F31" s="5" t="n">
        <x:v>197</x:v>
      </x:c>
      <x:c r="G31" s="6" t="n">
        <x:v>300</x:v>
      </x:c>
      <x:c r="H31" s="6" t="n">
        <x:v>59100</x:v>
      </x:c>
      <x:c r="I31" s="6" t="n">
        <x:v>14775</x:v>
      </x:c>
      <x:c r="J31" s="6" t="n">
        <x:v>2435</x:v>
      </x:c>
      <x:c r="K31" s="6" t="n">
        <x:v>3960</x:v>
      </x:c>
      <x:c r="L31" s="6" t="n">
        <x:f>H31-I31-J31-K31</x:f>
        <x:v>37930</x:v>
      </x:c>
      <x:c r="M31" s="6" t="n">
        <x:v>61464</x:v>
      </x:c>
      <x:c r="N31" s="7" t="n">
        <x:v>0.03</x:v>
      </x:c>
      <x:c r="O31" s="8" t="n">
        <x:v>87</x:v>
      </x:c>
    </x:row>
    <x:row r="32">
      <x:c r="A32" s="4" t="n">
        <x:v>45717</x:v>
      </x:c>
      <x:c r="B32" t="str">
        <x:v>华东</x:v>
      </x:c>
      <x:c r="C32" t="str">
        <x:v>智能设备</x:v>
      </x:c>
      <x:c r="D32" t="str">
        <x:v>直营</x:v>
      </x:c>
      <x:c r="E32" s="5" t="n">
        <x:v>188</x:v>
      </x:c>
      <x:c r="F32" s="5" t="n">
        <x:v>272</x:v>
      </x:c>
      <x:c r="G32" s="6" t="n">
        <x:v>1200</x:v>
      </x:c>
      <x:c r="H32" s="6" t="n">
        <x:v>326400</x:v>
      </x:c>
      <x:c r="I32" s="6" t="n">
        <x:v>189312</x:v>
      </x:c>
      <x:c r="J32" s="6" t="n">
        <x:v>12974</x:v>
      </x:c>
      <x:c r="K32" s="6" t="n">
        <x:v>17952</x:v>
      </x:c>
      <x:c r="L32" s="6" t="n">
        <x:f>H32-I32-J32-K32</x:f>
        <x:v>106162</x:v>
      </x:c>
      <x:c r="M32" s="6" t="n">
        <x:v>339456</x:v>
      </x:c>
      <x:c r="N32" s="7" t="n">
        <x:v>0.026</x:v>
      </x:c>
      <x:c r="O32" s="8" t="n">
        <x:v>87.4</x:v>
      </x:c>
    </x:row>
    <x:row r="33">
      <x:c r="A33" s="4" t="n">
        <x:v>45717</x:v>
      </x:c>
      <x:c r="B33" t="str">
        <x:v>华东</x:v>
      </x:c>
      <x:c r="C33" t="str">
        <x:v>企业服务</x:v>
      </x:c>
      <x:c r="D33" t="str">
        <x:v>直营</x:v>
      </x:c>
      <x:c r="E33" s="5" t="n">
        <x:v>144</x:v>
      </x:c>
      <x:c r="F33" s="5" t="n">
        <x:v>156</x:v>
      </x:c>
      <x:c r="G33" s="6" t="n">
        <x:v>2400</x:v>
      </x:c>
      <x:c r="H33" s="6" t="n">
        <x:v>374400</x:v>
      </x:c>
      <x:c r="I33" s="6" t="n">
        <x:v>142272</x:v>
      </x:c>
      <x:c r="J33" s="6" t="n">
        <x:v>3307</x:v>
      </x:c>
      <x:c r="K33" s="6" t="n">
        <x:v>22838</x:v>
      </x:c>
      <x:c r="L33" s="6" t="n">
        <x:f>H33-I33-J33-K33</x:f>
        <x:v>205983</x:v>
      </x:c>
      <x:c r="M33" s="6" t="n">
        <x:v>389376</x:v>
      </x:c>
      <x:c r="N33" s="7" t="n">
        <x:v>0.028999999999999998</x:v>
      </x:c>
      <x:c r="O33" s="8" t="n">
        <x:v>86.8</x:v>
      </x:c>
    </x:row>
    <x:row r="34">
      <x:c r="A34" s="4" t="n">
        <x:v>45717</x:v>
      </x:c>
      <x:c r="B34" t="str">
        <x:v>华东</x:v>
      </x:c>
      <x:c r="C34" t="str">
        <x:v>订阅会员</x:v>
      </x:c>
      <x:c r="D34" t="str">
        <x:v>直营</x:v>
      </x:c>
      <x:c r="E34" s="5" t="n">
        <x:v>159</x:v>
      </x:c>
      <x:c r="F34" s="5" t="n">
        <x:v>230</x:v>
      </x:c>
      <x:c r="G34" s="6" t="n">
        <x:v>300</x:v>
      </x:c>
      <x:c r="H34" s="6" t="n">
        <x:v>69000</x:v>
      </x:c>
      <x:c r="I34" s="6" t="n">
        <x:v>17250</x:v>
      </x:c>
      <x:c r="J34" s="6" t="n">
        <x:v>2926</x:v>
      </x:c>
      <x:c r="K34" s="6" t="n">
        <x:v>4623</x:v>
      </x:c>
      <x:c r="L34" s="6" t="n">
        <x:f>H34-I34-J34-K34</x:f>
        <x:v>44201</x:v>
      </x:c>
      <x:c r="M34" s="6" t="n">
        <x:v>71760</x:v>
      </x:c>
      <x:c r="N34" s="7" t="n">
        <x:v>0.032</x:v>
      </x:c>
      <x:c r="O34" s="8" t="n">
        <x:v>86.2</x:v>
      </x:c>
    </x:row>
    <x:row r="35">
      <x:c r="A35" s="4" t="n">
        <x:v>45717</x:v>
      </x:c>
      <x:c r="B35" t="str">
        <x:v>西部</x:v>
      </x:c>
      <x:c r="C35" t="str">
        <x:v>智能设备</x:v>
      </x:c>
      <x:c r="D35" t="str">
        <x:v>经销商</x:v>
      </x:c>
      <x:c r="E35" s="5" t="n">
        <x:v>149</x:v>
      </x:c>
      <x:c r="F35" s="5" t="n">
        <x:v>216</x:v>
      </x:c>
      <x:c r="G35" s="6" t="n">
        <x:v>1200</x:v>
      </x:c>
      <x:c r="H35" s="6" t="n">
        <x:v>259200</x:v>
      </x:c>
      <x:c r="I35" s="6" t="n">
        <x:v>150336</x:v>
      </x:c>
      <x:c r="J35" s="6" t="n">
        <x:v>10595</x:v>
      </x:c>
      <x:c r="K35" s="6" t="n">
        <x:v>14256</x:v>
      </x:c>
      <x:c r="L35" s="6" t="n">
        <x:f>H35-I35-J35-K35</x:f>
        <x:v>84013</x:v>
      </x:c>
      <x:c r="M35" s="6" t="n">
        <x:v>269568</x:v>
      </x:c>
      <x:c r="N35" s="7" t="n">
        <x:v>0.027999999999999997</x:v>
      </x:c>
      <x:c r="O35" s="8" t="n">
        <x:v>86.6</x:v>
      </x:c>
    </x:row>
    <x:row r="36">
      <x:c r="A36" s="4" t="n">
        <x:v>45717</x:v>
      </x:c>
      <x:c r="B36" t="str">
        <x:v>西部</x:v>
      </x:c>
      <x:c r="C36" t="str">
        <x:v>企业服务</x:v>
      </x:c>
      <x:c r="D36" t="str">
        <x:v>经销商</x:v>
      </x:c>
      <x:c r="E36" s="5" t="n">
        <x:v>118</x:v>
      </x:c>
      <x:c r="F36" s="5" t="n">
        <x:v>127</x:v>
      </x:c>
      <x:c r="G36" s="6" t="n">
        <x:v>2400</x:v>
      </x:c>
      <x:c r="H36" s="6" t="n">
        <x:v>304800</x:v>
      </x:c>
      <x:c r="I36" s="6" t="n">
        <x:v>115824</x:v>
      </x:c>
      <x:c r="J36" s="6" t="n">
        <x:v>2769</x:v>
      </x:c>
      <x:c r="K36" s="6" t="n">
        <x:v>18593</x:v>
      </x:c>
      <x:c r="L36" s="6" t="n">
        <x:f>H36-I36-J36-K36</x:f>
        <x:v>167614</x:v>
      </x:c>
      <x:c r="M36" s="6" t="n">
        <x:v>316992</x:v>
      </x:c>
      <x:c r="N36" s="7" t="n">
        <x:v>0.030999999999999996</x:v>
      </x:c>
      <x:c r="O36" s="8" t="n">
        <x:v>86</x:v>
      </x:c>
    </x:row>
    <x:row r="37">
      <x:c r="A37" s="4" t="n">
        <x:v>45717</x:v>
      </x:c>
      <x:c r="B37" t="str">
        <x:v>西部</x:v>
      </x:c>
      <x:c r="C37" t="str">
        <x:v>订阅会员</x:v>
      </x:c>
      <x:c r="D37" t="str">
        <x:v>经销商</x:v>
      </x:c>
      <x:c r="E37" s="5" t="n">
        <x:v>128</x:v>
      </x:c>
      <x:c r="F37" s="5" t="n">
        <x:v>185</x:v>
      </x:c>
      <x:c r="G37" s="6" t="n">
        <x:v>300</x:v>
      </x:c>
      <x:c r="H37" s="6" t="n">
        <x:v>55500</x:v>
      </x:c>
      <x:c r="I37" s="6" t="n">
        <x:v>13875</x:v>
      </x:c>
      <x:c r="J37" s="6" t="n">
        <x:v>2420</x:v>
      </x:c>
      <x:c r="K37" s="6" t="n">
        <x:v>3719</x:v>
      </x:c>
      <x:c r="L37" s="6" t="n">
        <x:f>H37-I37-J37-K37</x:f>
        <x:v>35486</x:v>
      </x:c>
      <x:c r="M37" s="6" t="n">
        <x:v>57720</x:v>
      </x:c>
      <x:c r="N37" s="7" t="n">
        <x:v>0.033999999999999996</x:v>
      </x:c>
      <x:c r="O37" s="8" t="n">
        <x:v>85.4</x:v>
      </x:c>
    </x:row>
    <x:row r="38">
      <x:c r="A38" s="4" t="n">
        <x:v>45748</x:v>
      </x:c>
      <x:c r="B38" t="str">
        <x:v>华北</x:v>
      </x:c>
      <x:c r="C38" t="str">
        <x:v>智能设备</x:v>
      </x:c>
      <x:c r="D38" t="str">
        <x:v>经销商</x:v>
      </x:c>
      <x:c r="E38" s="5" t="n">
        <x:v>152</x:v>
      </x:c>
      <x:c r="F38" s="5" t="n">
        <x:v>220</x:v>
      </x:c>
      <x:c r="G38" s="6" t="n">
        <x:v>1200</x:v>
      </x:c>
      <x:c r="H38" s="6" t="n">
        <x:v>264000</x:v>
      </x:c>
      <x:c r="I38" s="6" t="n">
        <x:v>153120</x:v>
      </x:c>
      <x:c r="J38" s="6" t="n">
        <x:v>9900</x:v>
      </x:c>
      <x:c r="K38" s="6" t="n">
        <x:v>14520</x:v>
      </x:c>
      <x:c r="L38" s="6" t="n">
        <x:f>H38-I38-J38-K38</x:f>
        <x:v>86460</x:v>
      </x:c>
      <x:c r="M38" s="6" t="n">
        <x:v>274560</x:v>
      </x:c>
      <x:c r="N38" s="7" t="n">
        <x:v>0.022</x:v>
      </x:c>
      <x:c r="O38" s="8" t="n">
        <x:v>89.3</x:v>
      </x:c>
    </x:row>
    <x:row r="39">
      <x:c r="A39" s="4" t="n">
        <x:v>45748</x:v>
      </x:c>
      <x:c r="B39" t="str">
        <x:v>华北</x:v>
      </x:c>
      <x:c r="C39" t="str">
        <x:v>企业服务</x:v>
      </x:c>
      <x:c r="D39" t="str">
        <x:v>经销商</x:v>
      </x:c>
      <x:c r="E39" s="5" t="n">
        <x:v>114</x:v>
      </x:c>
      <x:c r="F39" s="5" t="n">
        <x:v>123</x:v>
      </x:c>
      <x:c r="G39" s="6" t="n">
        <x:v>2400</x:v>
      </x:c>
      <x:c r="H39" s="6" t="n">
        <x:v>295200</x:v>
      </x:c>
      <x:c r="I39" s="6" t="n">
        <x:v>112176</x:v>
      </x:c>
      <x:c r="J39" s="6" t="n">
        <x:v>2460</x:v>
      </x:c>
      <x:c r="K39" s="6" t="n">
        <x:v>18007</x:v>
      </x:c>
      <x:c r="L39" s="6" t="n">
        <x:f>H39-I39-J39-K39</x:f>
        <x:v>162557</x:v>
      </x:c>
      <x:c r="M39" s="6" t="n">
        <x:v>307008</x:v>
      </x:c>
      <x:c r="N39" s="7" t="n">
        <x:v>0.024999999999999998</x:v>
      </x:c>
      <x:c r="O39" s="8" t="n">
        <x:v>88.7</x:v>
      </x:c>
    </x:row>
    <x:row r="40">
      <x:c r="A40" s="4" t="n">
        <x:v>45748</x:v>
      </x:c>
      <x:c r="B40" t="str">
        <x:v>华北</x:v>
      </x:c>
      <x:c r="C40" t="str">
        <x:v>订阅会员</x:v>
      </x:c>
      <x:c r="D40" t="str">
        <x:v>经销商</x:v>
      </x:c>
      <x:c r="E40" s="5" t="n">
        <x:v>128</x:v>
      </x:c>
      <x:c r="F40" s="5" t="n">
        <x:v>186</x:v>
      </x:c>
      <x:c r="G40" s="6" t="n">
        <x:v>300</x:v>
      </x:c>
      <x:c r="H40" s="6" t="n">
        <x:v>55800</x:v>
      </x:c>
      <x:c r="I40" s="6" t="n">
        <x:v>13950</x:v>
      </x:c>
      <x:c r="J40" s="6" t="n">
        <x:v>2232</x:v>
      </x:c>
      <x:c r="K40" s="6" t="n">
        <x:v>3739</x:v>
      </x:c>
      <x:c r="L40" s="6" t="n">
        <x:f>H40-I40-J40-K40</x:f>
        <x:v>35879</x:v>
      </x:c>
      <x:c r="M40" s="6" t="n">
        <x:v>58032</x:v>
      </x:c>
      <x:c r="N40" s="7" t="n">
        <x:v>0.027999999999999997</x:v>
      </x:c>
      <x:c r="O40" s="8" t="n">
        <x:v>88.1</x:v>
      </x:c>
    </x:row>
    <x:row r="41">
      <x:c r="A41" s="4" t="n">
        <x:v>45748</x:v>
      </x:c>
      <x:c r="B41" t="str">
        <x:v>华南</x:v>
      </x:c>
      <x:c r="C41" t="str">
        <x:v>智能设备</x:v>
      </x:c>
      <x:c r="D41" t="str">
        <x:v>线上</x:v>
      </x:c>
      <x:c r="E41" s="5" t="n">
        <x:v>163</x:v>
      </x:c>
      <x:c r="F41" s="5" t="n">
        <x:v>237</x:v>
      </x:c>
      <x:c r="G41" s="6" t="n">
        <x:v>1200</x:v>
      </x:c>
      <x:c r="H41" s="6" t="n">
        <x:v>284400</x:v>
      </x:c>
      <x:c r="I41" s="6" t="n">
        <x:v>164952</x:v>
      </x:c>
      <x:c r="J41" s="6" t="n">
        <x:v>10985</x:v>
      </x:c>
      <x:c r="K41" s="6" t="n">
        <x:v>15642</x:v>
      </x:c>
      <x:c r="L41" s="6" t="n">
        <x:f>H41-I41-J41-K41</x:f>
        <x:v>92821</x:v>
      </x:c>
      <x:c r="M41" s="6" t="n">
        <x:v>295776</x:v>
      </x:c>
      <x:c r="N41" s="7" t="n">
        <x:v>0.024</x:v>
      </x:c>
      <x:c r="O41" s="8" t="n">
        <x:v>88.5</x:v>
      </x:c>
    </x:row>
    <x:row r="42">
      <x:c r="A42" s="4" t="n">
        <x:v>45748</x:v>
      </x:c>
      <x:c r="B42" t="str">
        <x:v>华南</x:v>
      </x:c>
      <x:c r="C42" t="str">
        <x:v>企业服务</x:v>
      </x:c>
      <x:c r="D42" t="str">
        <x:v>线上</x:v>
      </x:c>
      <x:c r="E42" s="5" t="n">
        <x:v>124</x:v>
      </x:c>
      <x:c r="F42" s="5" t="n">
        <x:v>134</x:v>
      </x:c>
      <x:c r="G42" s="6" t="n">
        <x:v>2400</x:v>
      </x:c>
      <x:c r="H42" s="6" t="n">
        <x:v>321600</x:v>
      </x:c>
      <x:c r="I42" s="6" t="n">
        <x:v>122208</x:v>
      </x:c>
      <x:c r="J42" s="6" t="n">
        <x:v>2760</x:v>
      </x:c>
      <x:c r="K42" s="6" t="n">
        <x:v>19618</x:v>
      </x:c>
      <x:c r="L42" s="6" t="n">
        <x:f>H42-I42-J42-K42</x:f>
        <x:v>177014</x:v>
      </x:c>
      <x:c r="M42" s="6" t="n">
        <x:v>334464</x:v>
      </x:c>
      <x:c r="N42" s="7" t="n">
        <x:v>0.027</x:v>
      </x:c>
      <x:c r="O42" s="8" t="n">
        <x:v>87.9</x:v>
      </x:c>
    </x:row>
    <x:row r="43">
      <x:c r="A43" s="4" t="n">
        <x:v>45748</x:v>
      </x:c>
      <x:c r="B43" t="str">
        <x:v>华南</x:v>
      </x:c>
      <x:c r="C43" t="str">
        <x:v>订阅会员</x:v>
      </x:c>
      <x:c r="D43" t="str">
        <x:v>线上</x:v>
      </x:c>
      <x:c r="E43" s="5" t="n">
        <x:v>139</x:v>
      </x:c>
      <x:c r="F43" s="5" t="n">
        <x:v>201</x:v>
      </x:c>
      <x:c r="G43" s="6" t="n">
        <x:v>300</x:v>
      </x:c>
      <x:c r="H43" s="6" t="n">
        <x:v>60300</x:v>
      </x:c>
      <x:c r="I43" s="6" t="n">
        <x:v>15075</x:v>
      </x:c>
      <x:c r="J43" s="6" t="n">
        <x:v>2484</x:v>
      </x:c>
      <x:c r="K43" s="6" t="n">
        <x:v>4040</x:v>
      </x:c>
      <x:c r="L43" s="6" t="n">
        <x:f>H43-I43-J43-K43</x:f>
        <x:v>38701</x:v>
      </x:c>
      <x:c r="M43" s="6" t="n">
        <x:v>62712</x:v>
      </x:c>
      <x:c r="N43" s="7" t="n">
        <x:v>0.03</x:v>
      </x:c>
      <x:c r="O43" s="8" t="n">
        <x:v>87.3</x:v>
      </x:c>
    </x:row>
    <x:row r="44">
      <x:c r="A44" s="4" t="n">
        <x:v>45748</x:v>
      </x:c>
      <x:c r="B44" t="str">
        <x:v>华东</x:v>
      </x:c>
      <x:c r="C44" t="str">
        <x:v>智能设备</x:v>
      </x:c>
      <x:c r="D44" t="str">
        <x:v>直营</x:v>
      </x:c>
      <x:c r="E44" s="5" t="n">
        <x:v>191</x:v>
      </x:c>
      <x:c r="F44" s="5" t="n">
        <x:v>277</x:v>
      </x:c>
      <x:c r="G44" s="6" t="n">
        <x:v>1200</x:v>
      </x:c>
      <x:c r="H44" s="6" t="n">
        <x:v>332400</x:v>
      </x:c>
      <x:c r="I44" s="6" t="n">
        <x:v>192792</x:v>
      </x:c>
      <x:c r="J44" s="6" t="n">
        <x:v>13213</x:v>
      </x:c>
      <x:c r="K44" s="6" t="n">
        <x:v>18282</x:v>
      </x:c>
      <x:c r="L44" s="6" t="n">
        <x:f>H44-I44-J44-K44</x:f>
        <x:v>108113</x:v>
      </x:c>
      <x:c r="M44" s="6" t="n">
        <x:v>345696</x:v>
      </x:c>
      <x:c r="N44" s="7" t="n">
        <x:v>0.026</x:v>
      </x:c>
      <x:c r="O44" s="8" t="n">
        <x:v>87.7</x:v>
      </x:c>
    </x:row>
    <x:row r="45">
      <x:c r="A45" s="4" t="n">
        <x:v>45748</x:v>
      </x:c>
      <x:c r="B45" t="str">
        <x:v>华东</x:v>
      </x:c>
      <x:c r="C45" t="str">
        <x:v>企业服务</x:v>
      </x:c>
      <x:c r="D45" t="str">
        <x:v>直营</x:v>
      </x:c>
      <x:c r="E45" s="5" t="n">
        <x:v>146</x:v>
      </x:c>
      <x:c r="F45" s="5" t="n">
        <x:v>158</x:v>
      </x:c>
      <x:c r="G45" s="6" t="n">
        <x:v>2400</x:v>
      </x:c>
      <x:c r="H45" s="6" t="n">
        <x:v>379200</x:v>
      </x:c>
      <x:c r="I45" s="6" t="n">
        <x:v>144096</x:v>
      </x:c>
      <x:c r="J45" s="6" t="n">
        <x:v>3350</x:v>
      </x:c>
      <x:c r="K45" s="6" t="n">
        <x:v>23131</x:v>
      </x:c>
      <x:c r="L45" s="6" t="n">
        <x:f>H45-I45-J45-K45</x:f>
        <x:v>208623</x:v>
      </x:c>
      <x:c r="M45" s="6" t="n">
        <x:v>394368</x:v>
      </x:c>
      <x:c r="N45" s="7" t="n">
        <x:v>0.028999999999999998</x:v>
      </x:c>
      <x:c r="O45" s="8" t="n">
        <x:v>87.1</x:v>
      </x:c>
    </x:row>
    <x:row r="46">
      <x:c r="A46" s="4" t="n">
        <x:v>45748</x:v>
      </x:c>
      <x:c r="B46" t="str">
        <x:v>华东</x:v>
      </x:c>
      <x:c r="C46" t="str">
        <x:v>订阅会员</x:v>
      </x:c>
      <x:c r="D46" t="str">
        <x:v>直营</x:v>
      </x:c>
      <x:c r="E46" s="5" t="n">
        <x:v>161</x:v>
      </x:c>
      <x:c r="F46" s="5" t="n">
        <x:v>234</x:v>
      </x:c>
      <x:c r="G46" s="6" t="n">
        <x:v>300</x:v>
      </x:c>
      <x:c r="H46" s="6" t="n">
        <x:v>70200</x:v>
      </x:c>
      <x:c r="I46" s="6" t="n">
        <x:v>17550</x:v>
      </x:c>
      <x:c r="J46" s="6" t="n">
        <x:v>2976</x:v>
      </x:c>
      <x:c r="K46" s="6" t="n">
        <x:v>4703</x:v>
      </x:c>
      <x:c r="L46" s="6" t="n">
        <x:f>H46-I46-J46-K46</x:f>
        <x:v>44971</x:v>
      </x:c>
      <x:c r="M46" s="6" t="n">
        <x:v>73008</x:v>
      </x:c>
      <x:c r="N46" s="7" t="n">
        <x:v>0.032</x:v>
      </x:c>
      <x:c r="O46" s="8" t="n">
        <x:v>86.5</x:v>
      </x:c>
    </x:row>
    <x:row r="47">
      <x:c r="A47" s="4" t="n">
        <x:v>45748</x:v>
      </x:c>
      <x:c r="B47" t="str">
        <x:v>西部</x:v>
      </x:c>
      <x:c r="C47" t="str">
        <x:v>智能设备</x:v>
      </x:c>
      <x:c r="D47" t="str">
        <x:v>经销商</x:v>
      </x:c>
      <x:c r="E47" s="5" t="n">
        <x:v>151</x:v>
      </x:c>
      <x:c r="F47" s="5" t="n">
        <x:v>219</x:v>
      </x:c>
      <x:c r="G47" s="6" t="n">
        <x:v>1200</x:v>
      </x:c>
      <x:c r="H47" s="6" t="n">
        <x:v>262800</x:v>
      </x:c>
      <x:c r="I47" s="6" t="n">
        <x:v>152424</x:v>
      </x:c>
      <x:c r="J47" s="6" t="n">
        <x:v>10742</x:v>
      </x:c>
      <x:c r="K47" s="6" t="n">
        <x:v>14454</x:v>
      </x:c>
      <x:c r="L47" s="6" t="n">
        <x:f>H47-I47-J47-K47</x:f>
        <x:v>85180</x:v>
      </x:c>
      <x:c r="M47" s="6" t="n">
        <x:v>273312</x:v>
      </x:c>
      <x:c r="N47" s="7" t="n">
        <x:v>0.027999999999999997</x:v>
      </x:c>
      <x:c r="O47" s="8" t="n">
        <x:v>86.9</x:v>
      </x:c>
    </x:row>
    <x:row r="48">
      <x:c r="A48" s="4" t="n">
        <x:v>45748</x:v>
      </x:c>
      <x:c r="B48" t="str">
        <x:v>西部</x:v>
      </x:c>
      <x:c r="C48" t="str">
        <x:v>企业服务</x:v>
      </x:c>
      <x:c r="D48" t="str">
        <x:v>经销商</x:v>
      </x:c>
      <x:c r="E48" s="5" t="n">
        <x:v>119</x:v>
      </x:c>
      <x:c r="F48" s="5" t="n">
        <x:v>129</x:v>
      </x:c>
      <x:c r="G48" s="6" t="n">
        <x:v>2400</x:v>
      </x:c>
      <x:c r="H48" s="6" t="n">
        <x:v>309600</x:v>
      </x:c>
      <x:c r="I48" s="6" t="n">
        <x:v>117648</x:v>
      </x:c>
      <x:c r="J48" s="6" t="n">
        <x:v>2812</x:v>
      </x:c>
      <x:c r="K48" s="6" t="n">
        <x:v>18886</x:v>
      </x:c>
      <x:c r="L48" s="6" t="n">
        <x:f>H48-I48-J48-K48</x:f>
        <x:v>170254</x:v>
      </x:c>
      <x:c r="M48" s="6" t="n">
        <x:v>321984</x:v>
      </x:c>
      <x:c r="N48" s="7" t="n">
        <x:v>0.030999999999999996</x:v>
      </x:c>
      <x:c r="O48" s="8" t="n">
        <x:v>86.3</x:v>
      </x:c>
    </x:row>
    <x:row r="49">
      <x:c r="A49" s="4" t="n">
        <x:v>45748</x:v>
      </x:c>
      <x:c r="B49" t="str">
        <x:v>西部</x:v>
      </x:c>
      <x:c r="C49" t="str">
        <x:v>订阅会员</x:v>
      </x:c>
      <x:c r="D49" t="str">
        <x:v>经销商</x:v>
      </x:c>
      <x:c r="E49" s="5" t="n">
        <x:v>130</x:v>
      </x:c>
      <x:c r="F49" s="5" t="n">
        <x:v>188</x:v>
      </x:c>
      <x:c r="G49" s="6" t="n">
        <x:v>300</x:v>
      </x:c>
      <x:c r="H49" s="6" t="n">
        <x:v>56400</x:v>
      </x:c>
      <x:c r="I49" s="6" t="n">
        <x:v>14100</x:v>
      </x:c>
      <x:c r="J49" s="6" t="n">
        <x:v>2459</x:v>
      </x:c>
      <x:c r="K49" s="6" t="n">
        <x:v>3779</x:v>
      </x:c>
      <x:c r="L49" s="6" t="n">
        <x:f>H49-I49-J49-K49</x:f>
        <x:v>36062</x:v>
      </x:c>
      <x:c r="M49" s="6" t="n">
        <x:v>58656</x:v>
      </x:c>
      <x:c r="N49" s="7" t="n">
        <x:v>0.033999999999999996</x:v>
      </x:c>
      <x:c r="O49" s="8" t="n">
        <x:v>85.7</x:v>
      </x:c>
    </x:row>
    <x:row r="50">
      <x:c r="A50" s="4" t="n">
        <x:v>45778</x:v>
      </x:c>
      <x:c r="B50" t="str">
        <x:v>华北</x:v>
      </x:c>
      <x:c r="C50" t="str">
        <x:v>智能设备</x:v>
      </x:c>
      <x:c r="D50" t="str">
        <x:v>经销商</x:v>
      </x:c>
      <x:c r="E50" s="5" t="n">
        <x:v>154</x:v>
      </x:c>
      <x:c r="F50" s="5" t="n">
        <x:v>224</x:v>
      </x:c>
      <x:c r="G50" s="6" t="n">
        <x:v>1200</x:v>
      </x:c>
      <x:c r="H50" s="6" t="n">
        <x:v>268800</x:v>
      </x:c>
      <x:c r="I50" s="6" t="n">
        <x:v>155904</x:v>
      </x:c>
      <x:c r="J50" s="6" t="n">
        <x:v>10080</x:v>
      </x:c>
      <x:c r="K50" s="6" t="n">
        <x:v>14784</x:v>
      </x:c>
      <x:c r="L50" s="6" t="n">
        <x:f>H50-I50-J50-K50</x:f>
        <x:v>88032</x:v>
      </x:c>
      <x:c r="M50" s="6" t="n">
        <x:v>279552</x:v>
      </x:c>
      <x:c r="N50" s="7" t="n">
        <x:v>0.022</x:v>
      </x:c>
      <x:c r="O50" s="8" t="n">
        <x:v>89.6</x:v>
      </x:c>
    </x:row>
    <x:row r="51">
      <x:c r="A51" s="4" t="n">
        <x:v>45778</x:v>
      </x:c>
      <x:c r="B51" t="str">
        <x:v>华北</x:v>
      </x:c>
      <x:c r="C51" t="str">
        <x:v>企业服务</x:v>
      </x:c>
      <x:c r="D51" t="str">
        <x:v>经销商</x:v>
      </x:c>
      <x:c r="E51" s="5" t="n">
        <x:v>116</x:v>
      </x:c>
      <x:c r="F51" s="5" t="n">
        <x:v>125</x:v>
      </x:c>
      <x:c r="G51" s="6" t="n">
        <x:v>2400</x:v>
      </x:c>
      <x:c r="H51" s="6" t="n">
        <x:v>300000</x:v>
      </x:c>
      <x:c r="I51" s="6" t="n">
        <x:v>114000</x:v>
      </x:c>
      <x:c r="J51" s="6" t="n">
        <x:v>2500</x:v>
      </x:c>
      <x:c r="K51" s="6" t="n">
        <x:v>18300</x:v>
      </x:c>
      <x:c r="L51" s="6" t="n">
        <x:f>H51-I51-J51-K51</x:f>
        <x:v>165200</x:v>
      </x:c>
      <x:c r="M51" s="6" t="n">
        <x:v>312000</x:v>
      </x:c>
      <x:c r="N51" s="7" t="n">
        <x:v>0.024999999999999998</x:v>
      </x:c>
      <x:c r="O51" s="8" t="n">
        <x:v>89</x:v>
      </x:c>
    </x:row>
    <x:row r="52">
      <x:c r="A52" s="4" t="n">
        <x:v>45778</x:v>
      </x:c>
      <x:c r="B52" t="str">
        <x:v>华北</x:v>
      </x:c>
      <x:c r="C52" t="str">
        <x:v>订阅会员</x:v>
      </x:c>
      <x:c r="D52" t="str">
        <x:v>经销商</x:v>
      </x:c>
      <x:c r="E52" s="5" t="n">
        <x:v>130</x:v>
      </x:c>
      <x:c r="F52" s="5" t="n">
        <x:v>189</x:v>
      </x:c>
      <x:c r="G52" s="6" t="n">
        <x:v>300</x:v>
      </x:c>
      <x:c r="H52" s="6" t="n">
        <x:v>56700</x:v>
      </x:c>
      <x:c r="I52" s="6" t="n">
        <x:v>14175</x:v>
      </x:c>
      <x:c r="J52" s="6" t="n">
        <x:v>2268</x:v>
      </x:c>
      <x:c r="K52" s="6" t="n">
        <x:v>3799</x:v>
      </x:c>
      <x:c r="L52" s="6" t="n">
        <x:f>H52-I52-J52-K52</x:f>
        <x:v>36458</x:v>
      </x:c>
      <x:c r="M52" s="6" t="n">
        <x:v>58968</x:v>
      </x:c>
      <x:c r="N52" s="7" t="n">
        <x:v>0.027999999999999997</x:v>
      </x:c>
      <x:c r="O52" s="8" t="n">
        <x:v>88.4</x:v>
      </x:c>
    </x:row>
    <x:row r="53">
      <x:c r="A53" s="4" t="n">
        <x:v>45778</x:v>
      </x:c>
      <x:c r="B53" t="str">
        <x:v>华南</x:v>
      </x:c>
      <x:c r="C53" t="str">
        <x:v>智能设备</x:v>
      </x:c>
      <x:c r="D53" t="str">
        <x:v>线上</x:v>
      </x:c>
      <x:c r="E53" s="5" t="n">
        <x:v>166</x:v>
      </x:c>
      <x:c r="F53" s="5" t="n">
        <x:v>241</x:v>
      </x:c>
      <x:c r="G53" s="6" t="n">
        <x:v>1200</x:v>
      </x:c>
      <x:c r="H53" s="6" t="n">
        <x:v>289200</x:v>
      </x:c>
      <x:c r="I53" s="6" t="n">
        <x:v>167736</x:v>
      </x:c>
      <x:c r="J53" s="6" t="n">
        <x:v>11170</x:v>
      </x:c>
      <x:c r="K53" s="6" t="n">
        <x:v>15906</x:v>
      </x:c>
      <x:c r="L53" s="6" t="n">
        <x:f>H53-I53-J53-K53</x:f>
        <x:v>94388</x:v>
      </x:c>
      <x:c r="M53" s="6" t="n">
        <x:v>300768</x:v>
      </x:c>
      <x:c r="N53" s="7" t="n">
        <x:v>0.024</x:v>
      </x:c>
      <x:c r="O53" s="8" t="n">
        <x:v>88.8</x:v>
      </x:c>
    </x:row>
    <x:row r="54">
      <x:c r="A54" s="4" t="n">
        <x:v>45778</x:v>
      </x:c>
      <x:c r="B54" t="str">
        <x:v>华南</x:v>
      </x:c>
      <x:c r="C54" t="str">
        <x:v>企业服务</x:v>
      </x:c>
      <x:c r="D54" t="str">
        <x:v>线上</x:v>
      </x:c>
      <x:c r="E54" s="5" t="n">
        <x:v>127</x:v>
      </x:c>
      <x:c r="F54" s="5" t="n">
        <x:v>137</x:v>
      </x:c>
      <x:c r="G54" s="6" t="n">
        <x:v>2400</x:v>
      </x:c>
      <x:c r="H54" s="6" t="n">
        <x:v>328800</x:v>
      </x:c>
      <x:c r="I54" s="6" t="n">
        <x:v>124944</x:v>
      </x:c>
      <x:c r="J54" s="6" t="n">
        <x:v>2822</x:v>
      </x:c>
      <x:c r="K54" s="6" t="n">
        <x:v>20057</x:v>
      </x:c>
      <x:c r="L54" s="6" t="n">
        <x:f>H54-I54-J54-K54</x:f>
        <x:v>180977</x:v>
      </x:c>
      <x:c r="M54" s="6" t="n">
        <x:v>341952</x:v>
      </x:c>
      <x:c r="N54" s="7" t="n">
        <x:v>0.027</x:v>
      </x:c>
      <x:c r="O54" s="8" t="n">
        <x:v>88.2</x:v>
      </x:c>
    </x:row>
    <x:row r="55">
      <x:c r="A55" s="4" t="n">
        <x:v>45778</x:v>
      </x:c>
      <x:c r="B55" t="str">
        <x:v>华南</x:v>
      </x:c>
      <x:c r="C55" t="str">
        <x:v>订阅会员</x:v>
      </x:c>
      <x:c r="D55" t="str">
        <x:v>线上</x:v>
      </x:c>
      <x:c r="E55" s="5" t="n">
        <x:v>141</x:v>
      </x:c>
      <x:c r="F55" s="5" t="n">
        <x:v>204</x:v>
      </x:c>
      <x:c r="G55" s="6" t="n">
        <x:v>300</x:v>
      </x:c>
      <x:c r="H55" s="6" t="n">
        <x:v>61200</x:v>
      </x:c>
      <x:c r="I55" s="6" t="n">
        <x:v>15300</x:v>
      </x:c>
      <x:c r="J55" s="6" t="n">
        <x:v>2521</x:v>
      </x:c>
      <x:c r="K55" s="6" t="n">
        <x:v>4100</x:v>
      </x:c>
      <x:c r="L55" s="6" t="n">
        <x:f>H55-I55-J55-K55</x:f>
        <x:v>39279</x:v>
      </x:c>
      <x:c r="M55" s="6" t="n">
        <x:v>63648</x:v>
      </x:c>
      <x:c r="N55" s="7" t="n">
        <x:v>0.03</x:v>
      </x:c>
      <x:c r="O55" s="8" t="n">
        <x:v>87.6</x:v>
      </x:c>
    </x:row>
    <x:row r="56">
      <x:c r="A56" s="4" t="n">
        <x:v>45778</x:v>
      </x:c>
      <x:c r="B56" t="str">
        <x:v>华东</x:v>
      </x:c>
      <x:c r="C56" t="str">
        <x:v>智能设备</x:v>
      </x:c>
      <x:c r="D56" t="str">
        <x:v>直营</x:v>
      </x:c>
      <x:c r="E56" s="5" t="n">
        <x:v>194</x:v>
      </x:c>
      <x:c r="F56" s="5" t="n">
        <x:v>281</x:v>
      </x:c>
      <x:c r="G56" s="6" t="n">
        <x:v>1200</x:v>
      </x:c>
      <x:c r="H56" s="6" t="n">
        <x:v>337200</x:v>
      </x:c>
      <x:c r="I56" s="6" t="n">
        <x:v>195576</x:v>
      </x:c>
      <x:c r="J56" s="6" t="n">
        <x:v>13404</x:v>
      </x:c>
      <x:c r="K56" s="6" t="n">
        <x:v>18546</x:v>
      </x:c>
      <x:c r="L56" s="6" t="n">
        <x:f>H56-I56-J56-K56</x:f>
        <x:v>109674</x:v>
      </x:c>
      <x:c r="M56" s="6" t="n">
        <x:v>350688</x:v>
      </x:c>
      <x:c r="N56" s="7" t="n">
        <x:v>0.026</x:v>
      </x:c>
      <x:c r="O56" s="8" t="n">
        <x:v>88</x:v>
      </x:c>
    </x:row>
    <x:row r="57">
      <x:c r="A57" s="4" t="n">
        <x:v>45778</x:v>
      </x:c>
      <x:c r="B57" t="str">
        <x:v>华东</x:v>
      </x:c>
      <x:c r="C57" t="str">
        <x:v>企业服务</x:v>
      </x:c>
      <x:c r="D57" t="str">
        <x:v>直营</x:v>
      </x:c>
      <x:c r="E57" s="5" t="n">
        <x:v>149</x:v>
      </x:c>
      <x:c r="F57" s="5" t="n">
        <x:v>161</x:v>
      </x:c>
      <x:c r="G57" s="6" t="n">
        <x:v>2400</x:v>
      </x:c>
      <x:c r="H57" s="6" t="n">
        <x:v>386400</x:v>
      </x:c>
      <x:c r="I57" s="6" t="n">
        <x:v>146832</x:v>
      </x:c>
      <x:c r="J57" s="6" t="n">
        <x:v>3413</x:v>
      </x:c>
      <x:c r="K57" s="6" t="n">
        <x:v>23570</x:v>
      </x:c>
      <x:c r="L57" s="6" t="n">
        <x:f>H57-I57-J57-K57</x:f>
        <x:v>212585</x:v>
      </x:c>
      <x:c r="M57" s="6" t="n">
        <x:v>401856</x:v>
      </x:c>
      <x:c r="N57" s="7" t="n">
        <x:v>0.028999999999999998</x:v>
      </x:c>
      <x:c r="O57" s="8" t="n">
        <x:v>87.4</x:v>
      </x:c>
    </x:row>
    <x:row r="58">
      <x:c r="A58" s="4" t="n">
        <x:v>45778</x:v>
      </x:c>
      <x:c r="B58" t="str">
        <x:v>华东</x:v>
      </x:c>
      <x:c r="C58" t="str">
        <x:v>订阅会员</x:v>
      </x:c>
      <x:c r="D58" t="str">
        <x:v>直营</x:v>
      </x:c>
      <x:c r="E58" s="5" t="n">
        <x:v>164</x:v>
      </x:c>
      <x:c r="F58" s="5" t="n">
        <x:v>238</x:v>
      </x:c>
      <x:c r="G58" s="6" t="n">
        <x:v>300</x:v>
      </x:c>
      <x:c r="H58" s="6" t="n">
        <x:v>71400</x:v>
      </x:c>
      <x:c r="I58" s="6" t="n">
        <x:v>17850</x:v>
      </x:c>
      <x:c r="J58" s="6" t="n">
        <x:v>3027</x:v>
      </x:c>
      <x:c r="K58" s="6" t="n">
        <x:v>4784</x:v>
      </x:c>
      <x:c r="L58" s="6" t="n">
        <x:f>H58-I58-J58-K58</x:f>
        <x:v>45739</x:v>
      </x:c>
      <x:c r="M58" s="6" t="n">
        <x:v>74256</x:v>
      </x:c>
      <x:c r="N58" s="7" t="n">
        <x:v>0.032</x:v>
      </x:c>
      <x:c r="O58" s="8" t="n">
        <x:v>86.8</x:v>
      </x:c>
    </x:row>
    <x:row r="59">
      <x:c r="A59" s="4" t="n">
        <x:v>45778</x:v>
      </x:c>
      <x:c r="B59" t="str">
        <x:v>西部</x:v>
      </x:c>
      <x:c r="C59" t="str">
        <x:v>智能设备</x:v>
      </x:c>
      <x:c r="D59" t="str">
        <x:v>经销商</x:v>
      </x:c>
      <x:c r="E59" s="5" t="n">
        <x:v>154</x:v>
      </x:c>
      <x:c r="F59" s="5" t="n">
        <x:v>223</x:v>
      </x:c>
      <x:c r="G59" s="6" t="n">
        <x:v>1200</x:v>
      </x:c>
      <x:c r="H59" s="6" t="n">
        <x:v>267600</x:v>
      </x:c>
      <x:c r="I59" s="6" t="n">
        <x:v>155208</x:v>
      </x:c>
      <x:c r="J59" s="6" t="n">
        <x:v>10938</x:v>
      </x:c>
      <x:c r="K59" s="6" t="n">
        <x:v>14718</x:v>
      </x:c>
      <x:c r="L59" s="6" t="n">
        <x:f>H59-I59-J59-K59</x:f>
        <x:v>86736</x:v>
      </x:c>
      <x:c r="M59" s="6" t="n">
        <x:v>278304</x:v>
      </x:c>
      <x:c r="N59" s="7" t="n">
        <x:v>0.027999999999999997</x:v>
      </x:c>
      <x:c r="O59" s="8" t="n">
        <x:v>87.2</x:v>
      </x:c>
    </x:row>
    <x:row r="60">
      <x:c r="A60" s="4" t="n">
        <x:v>45778</x:v>
      </x:c>
      <x:c r="B60" t="str">
        <x:v>西部</x:v>
      </x:c>
      <x:c r="C60" t="str">
        <x:v>企业服务</x:v>
      </x:c>
      <x:c r="D60" t="str">
        <x:v>经销商</x:v>
      </x:c>
      <x:c r="E60" s="5" t="n">
        <x:v>121</x:v>
      </x:c>
      <x:c r="F60" s="5" t="n">
        <x:v>131</x:v>
      </x:c>
      <x:c r="G60" s="6" t="n">
        <x:v>2400</x:v>
      </x:c>
      <x:c r="H60" s="6" t="n">
        <x:v>314400</x:v>
      </x:c>
      <x:c r="I60" s="6" t="n">
        <x:v>119472</x:v>
      </x:c>
      <x:c r="J60" s="6" t="n">
        <x:v>2856</x:v>
      </x:c>
      <x:c r="K60" s="6" t="n">
        <x:v>19178</x:v>
      </x:c>
      <x:c r="L60" s="6" t="n">
        <x:f>H60-I60-J60-K60</x:f>
        <x:v>172894</x:v>
      </x:c>
      <x:c r="M60" s="6" t="n">
        <x:v>326976</x:v>
      </x:c>
      <x:c r="N60" s="7" t="n">
        <x:v>0.030999999999999996</x:v>
      </x:c>
      <x:c r="O60" s="8" t="n">
        <x:v>86.6</x:v>
      </x:c>
    </x:row>
    <x:row r="61">
      <x:c r="A61" s="4" t="n">
        <x:v>45778</x:v>
      </x:c>
      <x:c r="B61" t="str">
        <x:v>西部</x:v>
      </x:c>
      <x:c r="C61" t="str">
        <x:v>订阅会员</x:v>
      </x:c>
      <x:c r="D61" t="str">
        <x:v>经销商</x:v>
      </x:c>
      <x:c r="E61" s="5" t="n">
        <x:v>132</x:v>
      </x:c>
      <x:c r="F61" s="5" t="n">
        <x:v>191</x:v>
      </x:c>
      <x:c r="G61" s="6" t="n">
        <x:v>300</x:v>
      </x:c>
      <x:c r="H61" s="6" t="n">
        <x:v>57300</x:v>
      </x:c>
      <x:c r="I61" s="6" t="n">
        <x:v>14325</x:v>
      </x:c>
      <x:c r="J61" s="6" t="n">
        <x:v>2498</x:v>
      </x:c>
      <x:c r="K61" s="6" t="n">
        <x:v>3839</x:v>
      </x:c>
      <x:c r="L61" s="6" t="n">
        <x:f>H61-I61-J61-K61</x:f>
        <x:v>36638</x:v>
      </x:c>
      <x:c r="M61" s="6" t="n">
        <x:v>59592</x:v>
      </x:c>
      <x:c r="N61" s="7" t="n">
        <x:v>0.033999999999999996</x:v>
      </x:c>
      <x:c r="O61" s="8" t="n">
        <x:v>86</x:v>
      </x:c>
    </x:row>
    <x:row r="62">
      <x:c r="A62" s="4" t="n">
        <x:v>45809</x:v>
      </x:c>
      <x:c r="B62" t="str">
        <x:v>华北</x:v>
      </x:c>
      <x:c r="C62" t="str">
        <x:v>智能设备</x:v>
      </x:c>
      <x:c r="D62" t="str">
        <x:v>经销商</x:v>
      </x:c>
      <x:c r="E62" s="5" t="n">
        <x:v>169</x:v>
      </x:c>
      <x:c r="F62" s="5" t="n">
        <x:v>245</x:v>
      </x:c>
      <x:c r="G62" s="6" t="n">
        <x:v>1200</x:v>
      </x:c>
      <x:c r="H62" s="6" t="n">
        <x:v>294000</x:v>
      </x:c>
      <x:c r="I62" s="6" t="n">
        <x:v>170520</x:v>
      </x:c>
      <x:c r="J62" s="6" t="n">
        <x:v>11025</x:v>
      </x:c>
      <x:c r="K62" s="6" t="n">
        <x:v>16170</x:v>
      </x:c>
      <x:c r="L62" s="6" t="n">
        <x:f>H62-I62-J62-K62</x:f>
        <x:v>96285</x:v>
      </x:c>
      <x:c r="M62" s="6" t="n">
        <x:v>305760</x:v>
      </x:c>
      <x:c r="N62" s="7" t="n">
        <x:v>0.022</x:v>
      </x:c>
      <x:c r="O62" s="8" t="n">
        <x:v>89</x:v>
      </x:c>
    </x:row>
    <x:row r="63">
      <x:c r="A63" s="4" t="n">
        <x:v>45809</x:v>
      </x:c>
      <x:c r="B63" t="str">
        <x:v>华北</x:v>
      </x:c>
      <x:c r="C63" t="str">
        <x:v>企业服务</x:v>
      </x:c>
      <x:c r="D63" t="str">
        <x:v>经销商</x:v>
      </x:c>
      <x:c r="E63" s="5" t="n">
        <x:v>126</x:v>
      </x:c>
      <x:c r="F63" s="5" t="n">
        <x:v>136</x:v>
      </x:c>
      <x:c r="G63" s="6" t="n">
        <x:v>2400</x:v>
      </x:c>
      <x:c r="H63" s="6" t="n">
        <x:v>326400</x:v>
      </x:c>
      <x:c r="I63" s="6" t="n">
        <x:v>124032</x:v>
      </x:c>
      <x:c r="J63" s="6" t="n">
        <x:v>2720</x:v>
      </x:c>
      <x:c r="K63" s="6" t="n">
        <x:v>19910</x:v>
      </x:c>
      <x:c r="L63" s="6" t="n">
        <x:f>H63-I63-J63-K63</x:f>
        <x:v>179738</x:v>
      </x:c>
      <x:c r="M63" s="6" t="n">
        <x:v>339456</x:v>
      </x:c>
      <x:c r="N63" s="7" t="n">
        <x:v>0.024999999999999998</x:v>
      </x:c>
      <x:c r="O63" s="8" t="n">
        <x:v>88.4</x:v>
      </x:c>
    </x:row>
    <x:row r="64">
      <x:c r="A64" s="4" t="n">
        <x:v>45809</x:v>
      </x:c>
      <x:c r="B64" t="str">
        <x:v>华北</x:v>
      </x:c>
      <x:c r="C64" t="str">
        <x:v>订阅会员</x:v>
      </x:c>
      <x:c r="D64" t="str">
        <x:v>经销商</x:v>
      </x:c>
      <x:c r="E64" s="5" t="n">
        <x:v>142</x:v>
      </x:c>
      <x:c r="F64" s="5" t="n">
        <x:v>206</x:v>
      </x:c>
      <x:c r="G64" s="6" t="n">
        <x:v>300</x:v>
      </x:c>
      <x:c r="H64" s="6" t="n">
        <x:v>61800</x:v>
      </x:c>
      <x:c r="I64" s="6" t="n">
        <x:v>15450</x:v>
      </x:c>
      <x:c r="J64" s="6" t="n">
        <x:v>2472</x:v>
      </x:c>
      <x:c r="K64" s="6" t="n">
        <x:v>4141</x:v>
      </x:c>
      <x:c r="L64" s="6" t="n">
        <x:f>H64-I64-J64-K64</x:f>
        <x:v>39737</x:v>
      </x:c>
      <x:c r="M64" s="6" t="n">
        <x:v>64272</x:v>
      </x:c>
      <x:c r="N64" s="7" t="n">
        <x:v>0.027999999999999997</x:v>
      </x:c>
      <x:c r="O64" s="8" t="n">
        <x:v>87.8</x:v>
      </x:c>
    </x:row>
    <x:row r="65">
      <x:c r="A65" s="4" t="n">
        <x:v>45809</x:v>
      </x:c>
      <x:c r="B65" t="str">
        <x:v>华南</x:v>
      </x:c>
      <x:c r="C65" t="str">
        <x:v>智能设备</x:v>
      </x:c>
      <x:c r="D65" t="str">
        <x:v>线上</x:v>
      </x:c>
      <x:c r="E65" s="5" t="n">
        <x:v>181</x:v>
      </x:c>
      <x:c r="F65" s="5" t="n">
        <x:v>262</x:v>
      </x:c>
      <x:c r="G65" s="6" t="n">
        <x:v>1200</x:v>
      </x:c>
      <x:c r="H65" s="6" t="n">
        <x:v>314400</x:v>
      </x:c>
      <x:c r="I65" s="6" t="n">
        <x:v>182352</x:v>
      </x:c>
      <x:c r="J65" s="6" t="n">
        <x:v>12144</x:v>
      </x:c>
      <x:c r="K65" s="6" t="n">
        <x:v>17292</x:v>
      </x:c>
      <x:c r="L65" s="6" t="n">
        <x:f>H65-I65-J65-K65</x:f>
        <x:v>102612</x:v>
      </x:c>
      <x:c r="M65" s="6" t="n">
        <x:v>326976</x:v>
      </x:c>
      <x:c r="N65" s="7" t="n">
        <x:v>0.024</x:v>
      </x:c>
      <x:c r="O65" s="8" t="n">
        <x:v>88.2</x:v>
      </x:c>
    </x:row>
    <x:row r="66">
      <x:c r="A66" s="4" t="n">
        <x:v>45809</x:v>
      </x:c>
      <x:c r="B66" t="str">
        <x:v>华南</x:v>
      </x:c>
      <x:c r="C66" t="str">
        <x:v>企业服务</x:v>
      </x:c>
      <x:c r="D66" t="str">
        <x:v>线上</x:v>
      </x:c>
      <x:c r="E66" s="5" t="n">
        <x:v>137</x:v>
      </x:c>
      <x:c r="F66" s="5" t="n">
        <x:v>148</x:v>
      </x:c>
      <x:c r="G66" s="6" t="n">
        <x:v>2400</x:v>
      </x:c>
      <x:c r="H66" s="6" t="n">
        <x:v>355200</x:v>
      </x:c>
      <x:c r="I66" s="6" t="n">
        <x:v>134976</x:v>
      </x:c>
      <x:c r="J66" s="6" t="n">
        <x:v>3049</x:v>
      </x:c>
      <x:c r="K66" s="6" t="n">
        <x:v>21667</x:v>
      </x:c>
      <x:c r="L66" s="6" t="n">
        <x:f>H66-I66-J66-K66</x:f>
        <x:v>195508</x:v>
      </x:c>
      <x:c r="M66" s="6" t="n">
        <x:v>369408</x:v>
      </x:c>
      <x:c r="N66" s="7" t="n">
        <x:v>0.027</x:v>
      </x:c>
      <x:c r="O66" s="8" t="n">
        <x:v>87.6</x:v>
      </x:c>
    </x:row>
    <x:row r="67">
      <x:c r="A67" s="4" t="n">
        <x:v>45809</x:v>
      </x:c>
      <x:c r="B67" t="str">
        <x:v>华南</x:v>
      </x:c>
      <x:c r="C67" t="str">
        <x:v>订阅会员</x:v>
      </x:c>
      <x:c r="D67" t="str">
        <x:v>线上</x:v>
      </x:c>
      <x:c r="E67" s="5" t="n">
        <x:v>153</x:v>
      </x:c>
      <x:c r="F67" s="5" t="n">
        <x:v>222</x:v>
      </x:c>
      <x:c r="G67" s="6" t="n">
        <x:v>300</x:v>
      </x:c>
      <x:c r="H67" s="6" t="n">
        <x:v>66600</x:v>
      </x:c>
      <x:c r="I67" s="6" t="n">
        <x:v>16650</x:v>
      </x:c>
      <x:c r="J67" s="6" t="n">
        <x:v>2744</x:v>
      </x:c>
      <x:c r="K67" s="6" t="n">
        <x:v>4462</x:v>
      </x:c>
      <x:c r="L67" s="6" t="n">
        <x:f>H67-I67-J67-K67</x:f>
        <x:v>42744</x:v>
      </x:c>
      <x:c r="M67" s="6" t="n">
        <x:v>69264</x:v>
      </x:c>
      <x:c r="N67" s="7" t="n">
        <x:v>0.03</x:v>
      </x:c>
      <x:c r="O67" s="8" t="n">
        <x:v>87</x:v>
      </x:c>
    </x:row>
    <x:row r="68">
      <x:c r="A68" s="4" t="n">
        <x:v>45809</x:v>
      </x:c>
      <x:c r="B68" t="str">
        <x:v>华东</x:v>
      </x:c>
      <x:c r="C68" t="str">
        <x:v>智能设备</x:v>
      </x:c>
      <x:c r="D68" t="str">
        <x:v>直营</x:v>
      </x:c>
      <x:c r="E68" s="5" t="n">
        <x:v>211</x:v>
      </x:c>
      <x:c r="F68" s="5" t="n">
        <x:v>306</x:v>
      </x:c>
      <x:c r="G68" s="6" t="n">
        <x:v>1200</x:v>
      </x:c>
      <x:c r="H68" s="6" t="n">
        <x:v>367200</x:v>
      </x:c>
      <x:c r="I68" s="6" t="n">
        <x:v>212976</x:v>
      </x:c>
      <x:c r="J68" s="6" t="n">
        <x:v>14596</x:v>
      </x:c>
      <x:c r="K68" s="6" t="n">
        <x:v>20196</x:v>
      </x:c>
      <x:c r="L68" s="6" t="n">
        <x:f>H68-I68-J68-K68</x:f>
        <x:v>119432</x:v>
      </x:c>
      <x:c r="M68" s="6" t="n">
        <x:v>381888</x:v>
      </x:c>
      <x:c r="N68" s="7" t="n">
        <x:v>0.026</x:v>
      </x:c>
      <x:c r="O68" s="8" t="n">
        <x:v>87.4</x:v>
      </x:c>
    </x:row>
    <x:row r="69">
      <x:c r="A69" s="4" t="n">
        <x:v>45809</x:v>
      </x:c>
      <x:c r="B69" t="str">
        <x:v>华东</x:v>
      </x:c>
      <x:c r="C69" t="str">
        <x:v>企业服务</x:v>
      </x:c>
      <x:c r="D69" t="str">
        <x:v>直营</x:v>
      </x:c>
      <x:c r="E69" s="5" t="n">
        <x:v>161</x:v>
      </x:c>
      <x:c r="F69" s="5" t="n">
        <x:v>174</x:v>
      </x:c>
      <x:c r="G69" s="6" t="n">
        <x:v>2400</x:v>
      </x:c>
      <x:c r="H69" s="6" t="n">
        <x:v>417600</x:v>
      </x:c>
      <x:c r="I69" s="6" t="n">
        <x:v>158688</x:v>
      </x:c>
      <x:c r="J69" s="6" t="n">
        <x:v>3689</x:v>
      </x:c>
      <x:c r="K69" s="6" t="n">
        <x:v>25474</x:v>
      </x:c>
      <x:c r="L69" s="6" t="n">
        <x:f>H69-I69-J69-K69</x:f>
        <x:v>229749</x:v>
      </x:c>
      <x:c r="M69" s="6" t="n">
        <x:v>434304</x:v>
      </x:c>
      <x:c r="N69" s="7" t="n">
        <x:v>0.028999999999999998</x:v>
      </x:c>
      <x:c r="O69" s="8" t="n">
        <x:v>86.8</x:v>
      </x:c>
    </x:row>
    <x:row r="70">
      <x:c r="A70" s="4" t="n">
        <x:v>45809</x:v>
      </x:c>
      <x:c r="B70" t="str">
        <x:v>华东</x:v>
      </x:c>
      <x:c r="C70" t="str">
        <x:v>订阅会员</x:v>
      </x:c>
      <x:c r="D70" t="str">
        <x:v>直营</x:v>
      </x:c>
      <x:c r="E70" s="5" t="n">
        <x:v>178</x:v>
      </x:c>
      <x:c r="F70" s="5" t="n">
        <x:v>258</x:v>
      </x:c>
      <x:c r="G70" s="6" t="n">
        <x:v>300</x:v>
      </x:c>
      <x:c r="H70" s="6" t="n">
        <x:v>77400</x:v>
      </x:c>
      <x:c r="I70" s="6" t="n">
        <x:v>19350</x:v>
      </x:c>
      <x:c r="J70" s="6" t="n">
        <x:v>3282</x:v>
      </x:c>
      <x:c r="K70" s="6" t="n">
        <x:v>5186</x:v>
      </x:c>
      <x:c r="L70" s="6" t="n">
        <x:f>H70-I70-J70-K70</x:f>
        <x:v>49582</x:v>
      </x:c>
      <x:c r="M70" s="6" t="n">
        <x:v>80496</x:v>
      </x:c>
      <x:c r="N70" s="7" t="n">
        <x:v>0.032</x:v>
      </x:c>
      <x:c r="O70" s="8" t="n">
        <x:v>86.2</x:v>
      </x:c>
    </x:row>
    <x:row r="71">
      <x:c r="A71" s="4" t="n">
        <x:v>45809</x:v>
      </x:c>
      <x:c r="B71" t="str">
        <x:v>西部</x:v>
      </x:c>
      <x:c r="C71" t="str">
        <x:v>智能设备</x:v>
      </x:c>
      <x:c r="D71" t="str">
        <x:v>经销商</x:v>
      </x:c>
      <x:c r="E71" s="5" t="n">
        <x:v>167</x:v>
      </x:c>
      <x:c r="F71" s="5" t="n">
        <x:v>242</x:v>
      </x:c>
      <x:c r="G71" s="6" t="n">
        <x:v>1200</x:v>
      </x:c>
      <x:c r="H71" s="6" t="n">
        <x:v>290400</x:v>
      </x:c>
      <x:c r="I71" s="6" t="n">
        <x:v>168432</x:v>
      </x:c>
      <x:c r="J71" s="6" t="n">
        <x:v>11870</x:v>
      </x:c>
      <x:c r="K71" s="6" t="n">
        <x:v>15972</x:v>
      </x:c>
      <x:c r="L71" s="6" t="n">
        <x:f>H71-I71-J71-K71</x:f>
        <x:v>94126</x:v>
      </x:c>
      <x:c r="M71" s="6" t="n">
        <x:v>302016</x:v>
      </x:c>
      <x:c r="N71" s="7" t="n">
        <x:v>0.027999999999999997</x:v>
      </x:c>
      <x:c r="O71" s="8" t="n">
        <x:v>86.6</x:v>
      </x:c>
    </x:row>
    <x:row r="72">
      <x:c r="A72" s="4" t="n">
        <x:v>45809</x:v>
      </x:c>
      <x:c r="B72" t="str">
        <x:v>西部</x:v>
      </x:c>
      <x:c r="C72" t="str">
        <x:v>企业服务</x:v>
      </x:c>
      <x:c r="D72" t="str">
        <x:v>经销商</x:v>
      </x:c>
      <x:c r="E72" s="5" t="n">
        <x:v>131</x:v>
      </x:c>
      <x:c r="F72" s="5" t="n">
        <x:v>142</x:v>
      </x:c>
      <x:c r="G72" s="6" t="n">
        <x:v>2400</x:v>
      </x:c>
      <x:c r="H72" s="6" t="n">
        <x:v>340800</x:v>
      </x:c>
      <x:c r="I72" s="6" t="n">
        <x:v>129504</x:v>
      </x:c>
      <x:c r="J72" s="6" t="n">
        <x:v>3096</x:v>
      </x:c>
      <x:c r="K72" s="6" t="n">
        <x:v>20789</x:v>
      </x:c>
      <x:c r="L72" s="6" t="n">
        <x:f>H72-I72-J72-K72</x:f>
        <x:v>187411</x:v>
      </x:c>
      <x:c r="M72" s="6" t="n">
        <x:v>354432</x:v>
      </x:c>
      <x:c r="N72" s="7" t="n">
        <x:v>0.030999999999999996</x:v>
      </x:c>
      <x:c r="O72" s="8" t="n">
        <x:v>86</x:v>
      </x:c>
    </x:row>
    <x:row r="73">
      <x:c r="A73" s="4" t="n">
        <x:v>45809</x:v>
      </x:c>
      <x:c r="B73" t="str">
        <x:v>西部</x:v>
      </x:c>
      <x:c r="C73" t="str">
        <x:v>订阅会员</x:v>
      </x:c>
      <x:c r="D73" t="str">
        <x:v>经销商</x:v>
      </x:c>
      <x:c r="E73" s="5" t="n">
        <x:v>142</x:v>
      </x:c>
      <x:c r="F73" s="5" t="n">
        <x:v>206</x:v>
      </x:c>
      <x:c r="G73" s="6" t="n">
        <x:v>300</x:v>
      </x:c>
      <x:c r="H73" s="6" t="n">
        <x:v>61800</x:v>
      </x:c>
      <x:c r="I73" s="6" t="n">
        <x:v>15450</x:v>
      </x:c>
      <x:c r="J73" s="6" t="n">
        <x:v>2694</x:v>
      </x:c>
      <x:c r="K73" s="6" t="n">
        <x:v>4141</x:v>
      </x:c>
      <x:c r="L73" s="6" t="n">
        <x:f>H73-I73-J73-K73</x:f>
        <x:v>39515</x:v>
      </x:c>
      <x:c r="M73" s="6" t="n">
        <x:v>64272</x:v>
      </x:c>
      <x:c r="N73" s="7" t="n">
        <x:v>0.033999999999999996</x:v>
      </x:c>
      <x:c r="O73" s="8" t="n">
        <x:v>85.4</x:v>
      </x:c>
    </x:row>
    <x:row r="74">
      <x:c r="A74" s="4" t="n">
        <x:v>45839</x:v>
      </x:c>
      <x:c r="B74" t="str">
        <x:v>华北</x:v>
      </x:c>
      <x:c r="C74" t="str">
        <x:v>智能设备</x:v>
      </x:c>
      <x:c r="D74" t="str">
        <x:v>经销商</x:v>
      </x:c>
      <x:c r="E74" s="5" t="n">
        <x:v>160</x:v>
      </x:c>
      <x:c r="F74" s="5" t="n">
        <x:v>232</x:v>
      </x:c>
      <x:c r="G74" s="6" t="n">
        <x:v>1200</x:v>
      </x:c>
      <x:c r="H74" s="6" t="n">
        <x:v>278400</x:v>
      </x:c>
      <x:c r="I74" s="6" t="n">
        <x:v>161472</x:v>
      </x:c>
      <x:c r="J74" s="6" t="n">
        <x:v>10440</x:v>
      </x:c>
      <x:c r="K74" s="6" t="n">
        <x:v>15312</x:v>
      </x:c>
      <x:c r="L74" s="6" t="n">
        <x:f>H74-I74-J74-K74</x:f>
        <x:v>91176</x:v>
      </x:c>
      <x:c r="M74" s="6" t="n">
        <x:v>289536</x:v>
      </x:c>
      <x:c r="N74" s="7" t="n">
        <x:v>0.022</x:v>
      </x:c>
      <x:c r="O74" s="8" t="n">
        <x:v>89.3</x:v>
      </x:c>
    </x:row>
    <x:row r="75">
      <x:c r="A75" s="4" t="n">
        <x:v>45839</x:v>
      </x:c>
      <x:c r="B75" t="str">
        <x:v>华北</x:v>
      </x:c>
      <x:c r="C75" t="str">
        <x:v>企业服务</x:v>
      </x:c>
      <x:c r="D75" t="str">
        <x:v>经销商</x:v>
      </x:c>
      <x:c r="E75" s="5" t="n">
        <x:v>119</x:v>
      </x:c>
      <x:c r="F75" s="5" t="n">
        <x:v>129</x:v>
      </x:c>
      <x:c r="G75" s="6" t="n">
        <x:v>2400</x:v>
      </x:c>
      <x:c r="H75" s="6" t="n">
        <x:v>309600</x:v>
      </x:c>
      <x:c r="I75" s="6" t="n">
        <x:v>117648</x:v>
      </x:c>
      <x:c r="J75" s="6" t="n">
        <x:v>2580</x:v>
      </x:c>
      <x:c r="K75" s="6" t="n">
        <x:v>18886</x:v>
      </x:c>
      <x:c r="L75" s="6" t="n">
        <x:f>H75-I75-J75-K75</x:f>
        <x:v>170486</x:v>
      </x:c>
      <x:c r="M75" s="6" t="n">
        <x:v>321984</x:v>
      </x:c>
      <x:c r="N75" s="7" t="n">
        <x:v>0.024999999999999998</x:v>
      </x:c>
      <x:c r="O75" s="8" t="n">
        <x:v>88.7</x:v>
      </x:c>
    </x:row>
    <x:row r="76">
      <x:c r="A76" s="4" t="n">
        <x:v>45839</x:v>
      </x:c>
      <x:c r="B76" t="str">
        <x:v>华北</x:v>
      </x:c>
      <x:c r="C76" t="str">
        <x:v>订阅会员</x:v>
      </x:c>
      <x:c r="D76" t="str">
        <x:v>经销商</x:v>
      </x:c>
      <x:c r="E76" s="5" t="n">
        <x:v>134</x:v>
      </x:c>
      <x:c r="F76" s="5" t="n">
        <x:v>195</x:v>
      </x:c>
      <x:c r="G76" s="6" t="n">
        <x:v>300</x:v>
      </x:c>
      <x:c r="H76" s="6" t="n">
        <x:v>58500</x:v>
      </x:c>
      <x:c r="I76" s="6" t="n">
        <x:v>14625</x:v>
      </x:c>
      <x:c r="J76" s="6" t="n">
        <x:v>2340</x:v>
      </x:c>
      <x:c r="K76" s="6" t="n">
        <x:v>3920</x:v>
      </x:c>
      <x:c r="L76" s="6" t="n">
        <x:f>H76-I76-J76-K76</x:f>
        <x:v>37615</x:v>
      </x:c>
      <x:c r="M76" s="6" t="n">
        <x:v>60840</x:v>
      </x:c>
      <x:c r="N76" s="7" t="n">
        <x:v>0.027999999999999997</x:v>
      </x:c>
      <x:c r="O76" s="8" t="n">
        <x:v>88.1</x:v>
      </x:c>
    </x:row>
    <x:row r="77">
      <x:c r="A77" s="4" t="n">
        <x:v>45839</x:v>
      </x:c>
      <x:c r="B77" t="str">
        <x:v>华南</x:v>
      </x:c>
      <x:c r="C77" t="str">
        <x:v>智能设备</x:v>
      </x:c>
      <x:c r="D77" t="str">
        <x:v>线上</x:v>
      </x:c>
      <x:c r="E77" s="5" t="n">
        <x:v>172</x:v>
      </x:c>
      <x:c r="F77" s="5" t="n">
        <x:v>249</x:v>
      </x:c>
      <x:c r="G77" s="6" t="n">
        <x:v>1200</x:v>
      </x:c>
      <x:c r="H77" s="6" t="n">
        <x:v>298800</x:v>
      </x:c>
      <x:c r="I77" s="6" t="n">
        <x:v>173304</x:v>
      </x:c>
      <x:c r="J77" s="6" t="n">
        <x:v>11541</x:v>
      </x:c>
      <x:c r="K77" s="6" t="n">
        <x:v>16434</x:v>
      </x:c>
      <x:c r="L77" s="6" t="n">
        <x:f>H77-I77-J77-K77</x:f>
        <x:v>97521</x:v>
      </x:c>
      <x:c r="M77" s="6" t="n">
        <x:v>310752</x:v>
      </x:c>
      <x:c r="N77" s="7" t="n">
        <x:v>0.024</x:v>
      </x:c>
      <x:c r="O77" s="8" t="n">
        <x:v>88.5</x:v>
      </x:c>
    </x:row>
    <x:row r="78">
      <x:c r="A78" s="4" t="n">
        <x:v>45839</x:v>
      </x:c>
      <x:c r="B78" t="str">
        <x:v>华南</x:v>
      </x:c>
      <x:c r="C78" t="str">
        <x:v>企业服务</x:v>
      </x:c>
      <x:c r="D78" t="str">
        <x:v>线上</x:v>
      </x:c>
      <x:c r="E78" s="5" t="n">
        <x:v>131</x:v>
      </x:c>
      <x:c r="F78" s="5" t="n">
        <x:v>141</x:v>
      </x:c>
      <x:c r="G78" s="6" t="n">
        <x:v>2400</x:v>
      </x:c>
      <x:c r="H78" s="6" t="n">
        <x:v>338400</x:v>
      </x:c>
      <x:c r="I78" s="6" t="n">
        <x:v>128592</x:v>
      </x:c>
      <x:c r="J78" s="6" t="n">
        <x:v>2905</x:v>
      </x:c>
      <x:c r="K78" s="6" t="n">
        <x:v>20642</x:v>
      </x:c>
      <x:c r="L78" s="6" t="n">
        <x:f>H78-I78-J78-K78</x:f>
        <x:v>186261</x:v>
      </x:c>
      <x:c r="M78" s="6" t="n">
        <x:v>351936</x:v>
      </x:c>
      <x:c r="N78" s="7" t="n">
        <x:v>0.027</x:v>
      </x:c>
      <x:c r="O78" s="8" t="n">
        <x:v>87.9</x:v>
      </x:c>
    </x:row>
    <x:row r="79">
      <x:c r="A79" s="4" t="n">
        <x:v>45839</x:v>
      </x:c>
      <x:c r="B79" t="str">
        <x:v>华南</x:v>
      </x:c>
      <x:c r="C79" t="str">
        <x:v>订阅会员</x:v>
      </x:c>
      <x:c r="D79" t="str">
        <x:v>线上</x:v>
      </x:c>
      <x:c r="E79" s="5" t="n">
        <x:v>145</x:v>
      </x:c>
      <x:c r="F79" s="5" t="n">
        <x:v>210</x:v>
      </x:c>
      <x:c r="G79" s="6" t="n">
        <x:v>300</x:v>
      </x:c>
      <x:c r="H79" s="6" t="n">
        <x:v>63000</x:v>
      </x:c>
      <x:c r="I79" s="6" t="n">
        <x:v>15750</x:v>
      </x:c>
      <x:c r="J79" s="6" t="n">
        <x:v>2596</x:v>
      </x:c>
      <x:c r="K79" s="6" t="n">
        <x:v>4221</x:v>
      </x:c>
      <x:c r="L79" s="6" t="n">
        <x:f>H79-I79-J79-K79</x:f>
        <x:v>40433</x:v>
      </x:c>
      <x:c r="M79" s="6" t="n">
        <x:v>65520</x:v>
      </x:c>
      <x:c r="N79" s="7" t="n">
        <x:v>0.03</x:v>
      </x:c>
      <x:c r="O79" s="8" t="n">
        <x:v>87.3</x:v>
      </x:c>
    </x:row>
    <x:row r="80">
      <x:c r="A80" s="4" t="n">
        <x:v>45839</x:v>
      </x:c>
      <x:c r="B80" t="str">
        <x:v>华东</x:v>
      </x:c>
      <x:c r="C80" t="str">
        <x:v>智能设备</x:v>
      </x:c>
      <x:c r="D80" t="str">
        <x:v>直营</x:v>
      </x:c>
      <x:c r="E80" s="5" t="n">
        <x:v>200</x:v>
      </x:c>
      <x:c r="F80" s="5" t="n">
        <x:v>290</x:v>
      </x:c>
      <x:c r="G80" s="6" t="n">
        <x:v>1116</x:v>
      </x:c>
      <x:c r="H80" s="6" t="n">
        <x:v>323640</x:v>
      </x:c>
      <x:c r="I80" s="6" t="n">
        <x:v>195802</x:v>
      </x:c>
      <x:c r="J80" s="6" t="n">
        <x:v>22446</x:v>
      </x:c>
      <x:c r="K80" s="6" t="n">
        <x:v>30746</x:v>
      </x:c>
      <x:c r="L80" s="6" t="n">
        <x:f>H80-I80-J80-K80</x:f>
        <x:v>74646</x:v>
      </x:c>
      <x:c r="M80" s="6" t="n">
        <x:v>361920</x:v>
      </x:c>
      <x:c r="N80" s="7" t="n">
        <x:v>0.058</x:v>
      </x:c>
      <x:c r="O80" s="8" t="n">
        <x:v>79</x:v>
      </x:c>
    </x:row>
    <x:row r="81">
      <x:c r="A81" s="4" t="n">
        <x:v>45839</x:v>
      </x:c>
      <x:c r="B81" t="str">
        <x:v>华东</x:v>
      </x:c>
      <x:c r="C81" t="str">
        <x:v>企业服务</x:v>
      </x:c>
      <x:c r="D81" t="str">
        <x:v>直营</x:v>
      </x:c>
      <x:c r="E81" s="5" t="n">
        <x:v>154</x:v>
      </x:c>
      <x:c r="F81" s="5" t="n">
        <x:v>166</x:v>
      </x:c>
      <x:c r="G81" s="6" t="n">
        <x:v>2232</x:v>
      </x:c>
      <x:c r="H81" s="6" t="n">
        <x:v>370512</x:v>
      </x:c>
      <x:c r="I81" s="6" t="n">
        <x:v>140795</x:v>
      </x:c>
      <x:c r="J81" s="6" t="n">
        <x:v>5710</x:v>
      </x:c>
      <x:c r="K81" s="6" t="n">
        <x:v>35199</x:v>
      </x:c>
      <x:c r="L81" s="6" t="n">
        <x:f>H81-I81-J81-K81</x:f>
        <x:v>188808</x:v>
      </x:c>
      <x:c r="M81" s="6" t="n">
        <x:v>414336</x:v>
      </x:c>
      <x:c r="N81" s="7" t="n">
        <x:v>0.065</x:v>
      </x:c>
      <x:c r="O81" s="8" t="n">
        <x:v>77.2</x:v>
      </x:c>
    </x:row>
    <x:row r="82">
      <x:c r="A82" s="4" t="n">
        <x:v>45839</x:v>
      </x:c>
      <x:c r="B82" t="str">
        <x:v>华东</x:v>
      </x:c>
      <x:c r="C82" t="str">
        <x:v>订阅会员</x:v>
      </x:c>
      <x:c r="D82" t="str">
        <x:v>直营</x:v>
      </x:c>
      <x:c r="E82" s="5" t="n">
        <x:v>169</x:v>
      </x:c>
      <x:c r="F82" s="5" t="n">
        <x:v>245</x:v>
      </x:c>
      <x:c r="G82" s="6" t="n">
        <x:v>279</x:v>
      </x:c>
      <x:c r="H82" s="6" t="n">
        <x:v>68355</x:v>
      </x:c>
      <x:c r="I82" s="6" t="n">
        <x:v>17089</x:v>
      </x:c>
      <x:c r="J82" s="6" t="n">
        <x:v>5057</x:v>
      </x:c>
      <x:c r="K82" s="6" t="n">
        <x:v>6494</x:v>
      </x:c>
      <x:c r="L82" s="6" t="n">
        <x:f>H82-I82-J82-K82</x:f>
        <x:v>39715</x:v>
      </x:c>
      <x:c r="M82" s="6" t="n">
        <x:v>76440</x:v>
      </x:c>
      <x:c r="N82" s="7" t="n">
        <x:v>0.07200000000000001</x:v>
      </x:c>
      <x:c r="O82" s="8" t="n">
        <x:v>75.4</x:v>
      </x:c>
    </x:row>
    <x:row r="83">
      <x:c r="A83" s="4" t="n">
        <x:v>45839</x:v>
      </x:c>
      <x:c r="B83" t="str">
        <x:v>西部</x:v>
      </x:c>
      <x:c r="C83" t="str">
        <x:v>智能设备</x:v>
      </x:c>
      <x:c r="D83" t="str">
        <x:v>经销商</x:v>
      </x:c>
      <x:c r="E83" s="5" t="n">
        <x:v>159</x:v>
      </x:c>
      <x:c r="F83" s="5" t="n">
        <x:v>230</x:v>
      </x:c>
      <x:c r="G83" s="6" t="n">
        <x:v>1200</x:v>
      </x:c>
      <x:c r="H83" s="6" t="n">
        <x:v>276000</x:v>
      </x:c>
      <x:c r="I83" s="6" t="n">
        <x:v>160080</x:v>
      </x:c>
      <x:c r="J83" s="6" t="n">
        <x:v>11282</x:v>
      </x:c>
      <x:c r="K83" s="6" t="n">
        <x:v>15180</x:v>
      </x:c>
      <x:c r="L83" s="6" t="n">
        <x:f>H83-I83-J83-K83</x:f>
        <x:v>89458</x:v>
      </x:c>
      <x:c r="M83" s="6" t="n">
        <x:v>287040</x:v>
      </x:c>
      <x:c r="N83" s="7" t="n">
        <x:v>0.027999999999999997</x:v>
      </x:c>
      <x:c r="O83" s="8" t="n">
        <x:v>86.9</x:v>
      </x:c>
    </x:row>
    <x:row r="84">
      <x:c r="A84" s="4" t="n">
        <x:v>45839</x:v>
      </x:c>
      <x:c r="B84" t="str">
        <x:v>西部</x:v>
      </x:c>
      <x:c r="C84" t="str">
        <x:v>企业服务</x:v>
      </x:c>
      <x:c r="D84" t="str">
        <x:v>经销商</x:v>
      </x:c>
      <x:c r="E84" s="5" t="n">
        <x:v>125</x:v>
      </x:c>
      <x:c r="F84" s="5" t="n">
        <x:v>135</x:v>
      </x:c>
      <x:c r="G84" s="6" t="n">
        <x:v>2400</x:v>
      </x:c>
      <x:c r="H84" s="6" t="n">
        <x:v>324000</x:v>
      </x:c>
      <x:c r="I84" s="6" t="n">
        <x:v>123120</x:v>
      </x:c>
      <x:c r="J84" s="6" t="n">
        <x:v>2943</x:v>
      </x:c>
      <x:c r="K84" s="6" t="n">
        <x:v>19764</x:v>
      </x:c>
      <x:c r="L84" s="6" t="n">
        <x:f>H84-I84-J84-K84</x:f>
        <x:v>178173</x:v>
      </x:c>
      <x:c r="M84" s="6" t="n">
        <x:v>336960</x:v>
      </x:c>
      <x:c r="N84" s="7" t="n">
        <x:v>0.030999999999999996</x:v>
      </x:c>
      <x:c r="O84" s="8" t="n">
        <x:v>86.3</x:v>
      </x:c>
    </x:row>
    <x:row r="85">
      <x:c r="A85" s="4" t="n">
        <x:v>45839</x:v>
      </x:c>
      <x:c r="B85" t="str">
        <x:v>西部</x:v>
      </x:c>
      <x:c r="C85" t="str">
        <x:v>订阅会员</x:v>
      </x:c>
      <x:c r="D85" t="str">
        <x:v>经销商</x:v>
      </x:c>
      <x:c r="E85" s="5" t="n">
        <x:v>136</x:v>
      </x:c>
      <x:c r="F85" s="5" t="n">
        <x:v>197</x:v>
      </x:c>
      <x:c r="G85" s="6" t="n">
        <x:v>300</x:v>
      </x:c>
      <x:c r="H85" s="6" t="n">
        <x:v>59100</x:v>
      </x:c>
      <x:c r="I85" s="6" t="n">
        <x:v>14775</x:v>
      </x:c>
      <x:c r="J85" s="6" t="n">
        <x:v>2577</x:v>
      </x:c>
      <x:c r="K85" s="6" t="n">
        <x:v>3960</x:v>
      </x:c>
      <x:c r="L85" s="6" t="n">
        <x:f>H85-I85-J85-K85</x:f>
        <x:v>37788</x:v>
      </x:c>
      <x:c r="M85" s="6" t="n">
        <x:v>61464</x:v>
      </x:c>
      <x:c r="N85" s="7" t="n">
        <x:v>0.033999999999999996</x:v>
      </x:c>
      <x:c r="O85" s="8" t="n">
        <x:v>85.7</x:v>
      </x:c>
    </x:row>
    <x:row r="86">
      <x:c r="A86" s="4" t="n">
        <x:v>45870</x:v>
      </x:c>
      <x:c r="B86" t="str">
        <x:v>华北</x:v>
      </x:c>
      <x:c r="C86" t="str">
        <x:v>智能设备</x:v>
      </x:c>
      <x:c r="D86" t="str">
        <x:v>经销商</x:v>
      </x:c>
      <x:c r="E86" s="5" t="n">
        <x:v>162</x:v>
      </x:c>
      <x:c r="F86" s="5" t="n">
        <x:v>235</x:v>
      </x:c>
      <x:c r="G86" s="6" t="n">
        <x:v>1200</x:v>
      </x:c>
      <x:c r="H86" s="6" t="n">
        <x:v>282000</x:v>
      </x:c>
      <x:c r="I86" s="6" t="n">
        <x:v>163560</x:v>
      </x:c>
      <x:c r="J86" s="6" t="n">
        <x:v>10575</x:v>
      </x:c>
      <x:c r="K86" s="6" t="n">
        <x:v>15510</x:v>
      </x:c>
      <x:c r="L86" s="6" t="n">
        <x:f>H86-I86-J86-K86</x:f>
        <x:v>92355</x:v>
      </x:c>
      <x:c r="M86" s="6" t="n">
        <x:v>293280</x:v>
      </x:c>
      <x:c r="N86" s="7" t="n">
        <x:v>0.022</x:v>
      </x:c>
      <x:c r="O86" s="8" t="n">
        <x:v>89.6</x:v>
      </x:c>
    </x:row>
    <x:row r="87">
      <x:c r="A87" s="4" t="n">
        <x:v>45870</x:v>
      </x:c>
      <x:c r="B87" t="str">
        <x:v>华北</x:v>
      </x:c>
      <x:c r="C87" t="str">
        <x:v>企业服务</x:v>
      </x:c>
      <x:c r="D87" t="str">
        <x:v>经销商</x:v>
      </x:c>
      <x:c r="E87" s="5" t="n">
        <x:v>121</x:v>
      </x:c>
      <x:c r="F87" s="5" t="n">
        <x:v>131</x:v>
      </x:c>
      <x:c r="G87" s="6" t="n">
        <x:v>2400</x:v>
      </x:c>
      <x:c r="H87" s="6" t="n">
        <x:v>314400</x:v>
      </x:c>
      <x:c r="I87" s="6" t="n">
        <x:v>119472</x:v>
      </x:c>
      <x:c r="J87" s="6" t="n">
        <x:v>2620</x:v>
      </x:c>
      <x:c r="K87" s="6" t="n">
        <x:v>19178</x:v>
      </x:c>
      <x:c r="L87" s="6" t="n">
        <x:f>H87-I87-J87-K87</x:f>
        <x:v>173130</x:v>
      </x:c>
      <x:c r="M87" s="6" t="n">
        <x:v>326976</x:v>
      </x:c>
      <x:c r="N87" s="7" t="n">
        <x:v>0.024999999999999998</x:v>
      </x:c>
      <x:c r="O87" s="8" t="n">
        <x:v>89</x:v>
      </x:c>
    </x:row>
    <x:row r="88">
      <x:c r="A88" s="4" t="n">
        <x:v>45870</x:v>
      </x:c>
      <x:c r="B88" t="str">
        <x:v>华北</x:v>
      </x:c>
      <x:c r="C88" t="str">
        <x:v>订阅会员</x:v>
      </x:c>
      <x:c r="D88" t="str">
        <x:v>经销商</x:v>
      </x:c>
      <x:c r="E88" s="5" t="n">
        <x:v>137</x:v>
      </x:c>
      <x:c r="F88" s="5" t="n">
        <x:v>199</x:v>
      </x:c>
      <x:c r="G88" s="6" t="n">
        <x:v>300</x:v>
      </x:c>
      <x:c r="H88" s="6" t="n">
        <x:v>59700</x:v>
      </x:c>
      <x:c r="I88" s="6" t="n">
        <x:v>14925</x:v>
      </x:c>
      <x:c r="J88" s="6" t="n">
        <x:v>2388</x:v>
      </x:c>
      <x:c r="K88" s="6" t="n">
        <x:v>4000</x:v>
      </x:c>
      <x:c r="L88" s="6" t="n">
        <x:f>H88-I88-J88-K88</x:f>
        <x:v>38387</x:v>
      </x:c>
      <x:c r="M88" s="6" t="n">
        <x:v>62088</x:v>
      </x:c>
      <x:c r="N88" s="7" t="n">
        <x:v>0.027999999999999997</x:v>
      </x:c>
      <x:c r="O88" s="8" t="n">
        <x:v>88.4</x:v>
      </x:c>
    </x:row>
    <x:row r="89">
      <x:c r="A89" s="4" t="n">
        <x:v>45870</x:v>
      </x:c>
      <x:c r="B89" t="str">
        <x:v>华南</x:v>
      </x:c>
      <x:c r="C89" t="str">
        <x:v>智能设备</x:v>
      </x:c>
      <x:c r="D89" t="str">
        <x:v>线上</x:v>
      </x:c>
      <x:c r="E89" s="5" t="n">
        <x:v>174</x:v>
      </x:c>
      <x:c r="F89" s="5" t="n">
        <x:v>253</x:v>
      </x:c>
      <x:c r="G89" s="6" t="n">
        <x:v>1200</x:v>
      </x:c>
      <x:c r="H89" s="6" t="n">
        <x:v>303600</x:v>
      </x:c>
      <x:c r="I89" s="6" t="n">
        <x:v>176088</x:v>
      </x:c>
      <x:c r="J89" s="6" t="n">
        <x:v>11727</x:v>
      </x:c>
      <x:c r="K89" s="6" t="n">
        <x:v>16698</x:v>
      </x:c>
      <x:c r="L89" s="6" t="n">
        <x:f>H89-I89-J89-K89</x:f>
        <x:v>99087</x:v>
      </x:c>
      <x:c r="M89" s="6" t="n">
        <x:v>315744</x:v>
      </x:c>
      <x:c r="N89" s="7" t="n">
        <x:v>0.024</x:v>
      </x:c>
      <x:c r="O89" s="8" t="n">
        <x:v>88.8</x:v>
      </x:c>
    </x:row>
    <x:row r="90">
      <x:c r="A90" s="4" t="n">
        <x:v>45870</x:v>
      </x:c>
      <x:c r="B90" t="str">
        <x:v>华南</x:v>
      </x:c>
      <x:c r="C90" t="str">
        <x:v>企业服务</x:v>
      </x:c>
      <x:c r="D90" t="str">
        <x:v>线上</x:v>
      </x:c>
      <x:c r="E90" s="5" t="n">
        <x:v>132</x:v>
      </x:c>
      <x:c r="F90" s="5" t="n">
        <x:v>143</x:v>
      </x:c>
      <x:c r="G90" s="6" t="n">
        <x:v>2400</x:v>
      </x:c>
      <x:c r="H90" s="6" t="n">
        <x:v>343200</x:v>
      </x:c>
      <x:c r="I90" s="6" t="n">
        <x:v>130416</x:v>
      </x:c>
      <x:c r="J90" s="6" t="n">
        <x:v>2946</x:v>
      </x:c>
      <x:c r="K90" s="6" t="n">
        <x:v>20935</x:v>
      </x:c>
      <x:c r="L90" s="6" t="n">
        <x:f>H90-I90-J90-K90</x:f>
        <x:v>188903</x:v>
      </x:c>
      <x:c r="M90" s="6" t="n">
        <x:v>356928</x:v>
      </x:c>
      <x:c r="N90" s="7" t="n">
        <x:v>0.027</x:v>
      </x:c>
      <x:c r="O90" s="8" t="n">
        <x:v>88.2</x:v>
      </x:c>
    </x:row>
    <x:row r="91">
      <x:c r="A91" s="4" t="n">
        <x:v>45870</x:v>
      </x:c>
      <x:c r="B91" t="str">
        <x:v>华南</x:v>
      </x:c>
      <x:c r="C91" t="str">
        <x:v>订阅会员</x:v>
      </x:c>
      <x:c r="D91" t="str">
        <x:v>线上</x:v>
      </x:c>
      <x:c r="E91" s="5" t="n">
        <x:v>148</x:v>
      </x:c>
      <x:c r="F91" s="5" t="n">
        <x:v>214</x:v>
      </x:c>
      <x:c r="G91" s="6" t="n">
        <x:v>300</x:v>
      </x:c>
      <x:c r="H91" s="6" t="n">
        <x:v>64200</x:v>
      </x:c>
      <x:c r="I91" s="6" t="n">
        <x:v>16050</x:v>
      </x:c>
      <x:c r="J91" s="6" t="n">
        <x:v>2645</x:v>
      </x:c>
      <x:c r="K91" s="6" t="n">
        <x:v>4301</x:v>
      </x:c>
      <x:c r="L91" s="6" t="n">
        <x:f>H91-I91-J91-K91</x:f>
        <x:v>41204</x:v>
      </x:c>
      <x:c r="M91" s="6" t="n">
        <x:v>66768</x:v>
      </x:c>
      <x:c r="N91" s="7" t="n">
        <x:v>0.03</x:v>
      </x:c>
      <x:c r="O91" s="8" t="n">
        <x:v>87.6</x:v>
      </x:c>
    </x:row>
    <x:row r="92">
      <x:c r="A92" s="4" t="n">
        <x:v>45870</x:v>
      </x:c>
      <x:c r="B92" t="str">
        <x:v>华东</x:v>
      </x:c>
      <x:c r="C92" t="str">
        <x:v>智能设备</x:v>
      </x:c>
      <x:c r="D92" t="str">
        <x:v>直营</x:v>
      </x:c>
      <x:c r="E92" s="5" t="n">
        <x:v>203</x:v>
      </x:c>
      <x:c r="F92" s="5" t="n">
        <x:v>295</x:v>
      </x:c>
      <x:c r="G92" s="6" t="n">
        <x:v>1116</x:v>
      </x:c>
      <x:c r="H92" s="6" t="n">
        <x:v>329220</x:v>
      </x:c>
      <x:c r="I92" s="6" t="n">
        <x:v>199178</x:v>
      </x:c>
      <x:c r="J92" s="6" t="n">
        <x:v>22833</x:v>
      </x:c>
      <x:c r="K92" s="6" t="n">
        <x:v>31276</x:v>
      </x:c>
      <x:c r="L92" s="6" t="n">
        <x:f>H92-I92-J92-K92</x:f>
        <x:v>75933</x:v>
      </x:c>
      <x:c r="M92" s="6" t="n">
        <x:v>368160</x:v>
      </x:c>
      <x:c r="N92" s="7" t="n">
        <x:v>0.060000000000000005</x:v>
      </x:c>
      <x:c r="O92" s="8" t="n">
        <x:v>78.3</x:v>
      </x:c>
    </x:row>
    <x:row r="93">
      <x:c r="A93" s="4" t="n">
        <x:v>45870</x:v>
      </x:c>
      <x:c r="B93" t="str">
        <x:v>华东</x:v>
      </x:c>
      <x:c r="C93" t="str">
        <x:v>企业服务</x:v>
      </x:c>
      <x:c r="D93" t="str">
        <x:v>直营</x:v>
      </x:c>
      <x:c r="E93" s="5" t="n">
        <x:v>156</x:v>
      </x:c>
      <x:c r="F93" s="5" t="n">
        <x:v>168</x:v>
      </x:c>
      <x:c r="G93" s="6" t="n">
        <x:v>2232</x:v>
      </x:c>
      <x:c r="H93" s="6" t="n">
        <x:v>374976</x:v>
      </x:c>
      <x:c r="I93" s="6" t="n">
        <x:v>142491</x:v>
      </x:c>
      <x:c r="J93" s="6" t="n">
        <x:v>5779</x:v>
      </x:c>
      <x:c r="K93" s="6" t="n">
        <x:v>35623</x:v>
      </x:c>
      <x:c r="L93" s="6" t="n">
        <x:f>H93-I93-J93-K93</x:f>
        <x:v>191083</x:v>
      </x:c>
      <x:c r="M93" s="6" t="n">
        <x:v>419328</x:v>
      </x:c>
      <x:c r="N93" s="7" t="n">
        <x:v>0.067</x:v>
      </x:c>
      <x:c r="O93" s="8" t="n">
        <x:v>76.5</x:v>
      </x:c>
    </x:row>
    <x:row r="94">
      <x:c r="A94" s="4" t="n">
        <x:v>45870</x:v>
      </x:c>
      <x:c r="B94" t="str">
        <x:v>华东</x:v>
      </x:c>
      <x:c r="C94" t="str">
        <x:v>订阅会员</x:v>
      </x:c>
      <x:c r="D94" t="str">
        <x:v>直营</x:v>
      </x:c>
      <x:c r="E94" s="5" t="n">
        <x:v>172</x:v>
      </x:c>
      <x:c r="F94" s="5" t="n">
        <x:v>249</x:v>
      </x:c>
      <x:c r="G94" s="6" t="n">
        <x:v>279</x:v>
      </x:c>
      <x:c r="H94" s="6" t="n">
        <x:v>69471</x:v>
      </x:c>
      <x:c r="I94" s="6" t="n">
        <x:v>17368</x:v>
      </x:c>
      <x:c r="J94" s="6" t="n">
        <x:v>5139</x:v>
      </x:c>
      <x:c r="K94" s="6" t="n">
        <x:v>6600</x:v>
      </x:c>
      <x:c r="L94" s="6" t="n">
        <x:f>H94-I94-J94-K94</x:f>
        <x:v>40364</x:v>
      </x:c>
      <x:c r="M94" s="6" t="n">
        <x:v>77688</x:v>
      </x:c>
      <x:c r="N94" s="7" t="n">
        <x:v>0.07400000000000001</x:v>
      </x:c>
      <x:c r="O94" s="8" t="n">
        <x:v>74.7</x:v>
      </x:c>
    </x:row>
    <x:row r="95">
      <x:c r="A95" s="4" t="n">
        <x:v>45870</x:v>
      </x:c>
      <x:c r="B95" t="str">
        <x:v>西部</x:v>
      </x:c>
      <x:c r="C95" t="str">
        <x:v>智能设备</x:v>
      </x:c>
      <x:c r="D95" t="str">
        <x:v>经销商</x:v>
      </x:c>
      <x:c r="E95" s="5" t="n">
        <x:v>161</x:v>
      </x:c>
      <x:c r="F95" s="5" t="n">
        <x:v>233</x:v>
      </x:c>
      <x:c r="G95" s="6" t="n">
        <x:v>1200</x:v>
      </x:c>
      <x:c r="H95" s="6" t="n">
        <x:v>279600</x:v>
      </x:c>
      <x:c r="I95" s="6" t="n">
        <x:v>162168</x:v>
      </x:c>
      <x:c r="J95" s="6" t="n">
        <x:v>11429</x:v>
      </x:c>
      <x:c r="K95" s="6" t="n">
        <x:v>15378</x:v>
      </x:c>
      <x:c r="L95" s="6" t="n">
        <x:f>H95-I95-J95-K95</x:f>
        <x:v>90625</x:v>
      </x:c>
      <x:c r="M95" s="6" t="n">
        <x:v>290784</x:v>
      </x:c>
      <x:c r="N95" s="7" t="n">
        <x:v>0.027999999999999997</x:v>
      </x:c>
      <x:c r="O95" s="8" t="n">
        <x:v>87.2</x:v>
      </x:c>
    </x:row>
    <x:row r="96">
      <x:c r="A96" s="4" t="n">
        <x:v>45870</x:v>
      </x:c>
      <x:c r="B96" t="str">
        <x:v>西部</x:v>
      </x:c>
      <x:c r="C96" t="str">
        <x:v>企业服务</x:v>
      </x:c>
      <x:c r="D96" t="str">
        <x:v>经销商</x:v>
      </x:c>
      <x:c r="E96" s="5" t="n">
        <x:v>127</x:v>
      </x:c>
      <x:c r="F96" s="5" t="n">
        <x:v>137</x:v>
      </x:c>
      <x:c r="G96" s="6" t="n">
        <x:v>2400</x:v>
      </x:c>
      <x:c r="H96" s="6" t="n">
        <x:v>328800</x:v>
      </x:c>
      <x:c r="I96" s="6" t="n">
        <x:v>124944</x:v>
      </x:c>
      <x:c r="J96" s="6" t="n">
        <x:v>2987</x:v>
      </x:c>
      <x:c r="K96" s="6" t="n">
        <x:v>20057</x:v>
      </x:c>
      <x:c r="L96" s="6" t="n">
        <x:f>H96-I96-J96-K96</x:f>
        <x:v>180812</x:v>
      </x:c>
      <x:c r="M96" s="6" t="n">
        <x:v>341952</x:v>
      </x:c>
      <x:c r="N96" s="7" t="n">
        <x:v>0.030999999999999996</x:v>
      </x:c>
      <x:c r="O96" s="8" t="n">
        <x:v>86.6</x:v>
      </x:c>
    </x:row>
    <x:row r="97">
      <x:c r="A97" s="4" t="n">
        <x:v>45870</x:v>
      </x:c>
      <x:c r="B97" t="str">
        <x:v>西部</x:v>
      </x:c>
      <x:c r="C97" t="str">
        <x:v>订阅会员</x:v>
      </x:c>
      <x:c r="D97" t="str">
        <x:v>经销商</x:v>
      </x:c>
      <x:c r="E97" s="5" t="n">
        <x:v>137</x:v>
      </x:c>
      <x:c r="F97" s="5" t="n">
        <x:v>199</x:v>
      </x:c>
      <x:c r="G97" s="6" t="n">
        <x:v>300</x:v>
      </x:c>
      <x:c r="H97" s="6" t="n">
        <x:v>59700</x:v>
      </x:c>
      <x:c r="I97" s="6" t="n">
        <x:v>14925</x:v>
      </x:c>
      <x:c r="J97" s="6" t="n">
        <x:v>2603</x:v>
      </x:c>
      <x:c r="K97" s="6" t="n">
        <x:v>4000</x:v>
      </x:c>
      <x:c r="L97" s="6" t="n">
        <x:f>H97-I97-J97-K97</x:f>
        <x:v>38172</x:v>
      </x:c>
      <x:c r="M97" s="6" t="n">
        <x:v>62088</x:v>
      </x:c>
      <x:c r="N97" s="7" t="n">
        <x:v>0.033999999999999996</x:v>
      </x:c>
      <x:c r="O97" s="8" t="n">
        <x:v>86</x:v>
      </x:c>
    </x:row>
    <x:row r="98">
      <x:c r="A98" s="4" t="n">
        <x:v>45901</x:v>
      </x:c>
      <x:c r="B98" t="str">
        <x:v>华北</x:v>
      </x:c>
      <x:c r="C98" t="str">
        <x:v>智能设备</x:v>
      </x:c>
      <x:c r="D98" t="str">
        <x:v>经销商</x:v>
      </x:c>
      <x:c r="E98" s="5" t="n">
        <x:v>165</x:v>
      </x:c>
      <x:c r="F98" s="5" t="n">
        <x:v>239</x:v>
      </x:c>
      <x:c r="G98" s="6" t="n">
        <x:v>1200</x:v>
      </x:c>
      <x:c r="H98" s="6" t="n">
        <x:v>286800</x:v>
      </x:c>
      <x:c r="I98" s="6" t="n">
        <x:v>166344</x:v>
      </x:c>
      <x:c r="J98" s="6" t="n">
        <x:v>10755</x:v>
      </x:c>
      <x:c r="K98" s="6" t="n">
        <x:v>15774</x:v>
      </x:c>
      <x:c r="L98" s="6" t="n">
        <x:f>H98-I98-J98-K98</x:f>
        <x:v>93927</x:v>
      </x:c>
      <x:c r="M98" s="6" t="n">
        <x:v>298272</x:v>
      </x:c>
      <x:c r="N98" s="7" t="n">
        <x:v>0.022</x:v>
      </x:c>
      <x:c r="O98" s="8" t="n">
        <x:v>89</x:v>
      </x:c>
    </x:row>
    <x:row r="99">
      <x:c r="A99" s="4" t="n">
        <x:v>45901</x:v>
      </x:c>
      <x:c r="B99" t="str">
        <x:v>华北</x:v>
      </x:c>
      <x:c r="C99" t="str">
        <x:v>企业服务</x:v>
      </x:c>
      <x:c r="D99" t="str">
        <x:v>经销商</x:v>
      </x:c>
      <x:c r="E99" s="5" t="n">
        <x:v>123</x:v>
      </x:c>
      <x:c r="F99" s="5" t="n">
        <x:v>133</x:v>
      </x:c>
      <x:c r="G99" s="6" t="n">
        <x:v>2400</x:v>
      </x:c>
      <x:c r="H99" s="6" t="n">
        <x:v>319200</x:v>
      </x:c>
      <x:c r="I99" s="6" t="n">
        <x:v>121296</x:v>
      </x:c>
      <x:c r="J99" s="6" t="n">
        <x:v>2660</x:v>
      </x:c>
      <x:c r="K99" s="6" t="n">
        <x:v>19471</x:v>
      </x:c>
      <x:c r="L99" s="6" t="n">
        <x:f>H99-I99-J99-K99</x:f>
        <x:v>175773</x:v>
      </x:c>
      <x:c r="M99" s="6" t="n">
        <x:v>331968</x:v>
      </x:c>
      <x:c r="N99" s="7" t="n">
        <x:v>0.024999999999999998</x:v>
      </x:c>
      <x:c r="O99" s="8" t="n">
        <x:v>88.4</x:v>
      </x:c>
    </x:row>
    <x:row r="100">
      <x:c r="A100" s="4" t="n">
        <x:v>45901</x:v>
      </x:c>
      <x:c r="B100" t="str">
        <x:v>华北</x:v>
      </x:c>
      <x:c r="C100" t="str">
        <x:v>订阅会员</x:v>
      </x:c>
      <x:c r="D100" t="str">
        <x:v>经销商</x:v>
      </x:c>
      <x:c r="E100" s="5" t="n">
        <x:v>139</x:v>
      </x:c>
      <x:c r="F100" s="5" t="n">
        <x:v>202</x:v>
      </x:c>
      <x:c r="G100" s="6" t="n">
        <x:v>300</x:v>
      </x:c>
      <x:c r="H100" s="6" t="n">
        <x:v>60600</x:v>
      </x:c>
      <x:c r="I100" s="6" t="n">
        <x:v>15150</x:v>
      </x:c>
      <x:c r="J100" s="6" t="n">
        <x:v>2424</x:v>
      </x:c>
      <x:c r="K100" s="6" t="n">
        <x:v>4060</x:v>
      </x:c>
      <x:c r="L100" s="6" t="n">
        <x:f>H100-I100-J100-K100</x:f>
        <x:v>38966</x:v>
      </x:c>
      <x:c r="M100" s="6" t="n">
        <x:v>63024</x:v>
      </x:c>
      <x:c r="N100" s="7" t="n">
        <x:v>0.027999999999999997</x:v>
      </x:c>
      <x:c r="O100" s="8" t="n">
        <x:v>87.8</x:v>
      </x:c>
    </x:row>
    <x:row r="101">
      <x:c r="A101" s="4" t="n">
        <x:v>45901</x:v>
      </x:c>
      <x:c r="B101" t="str">
        <x:v>华南</x:v>
      </x:c>
      <x:c r="C101" t="str">
        <x:v>智能设备</x:v>
      </x:c>
      <x:c r="D101" t="str">
        <x:v>线上</x:v>
      </x:c>
      <x:c r="E101" s="5" t="n">
        <x:v>177</x:v>
      </x:c>
      <x:c r="F101" s="5" t="n">
        <x:v>257</x:v>
      </x:c>
      <x:c r="G101" s="6" t="n">
        <x:v>1200</x:v>
      </x:c>
      <x:c r="H101" s="6" t="n">
        <x:v>308400</x:v>
      </x:c>
      <x:c r="I101" s="6" t="n">
        <x:v>178872</x:v>
      </x:c>
      <x:c r="J101" s="6" t="n">
        <x:v>11912</x:v>
      </x:c>
      <x:c r="K101" s="6" t="n">
        <x:v>16962</x:v>
      </x:c>
      <x:c r="L101" s="6" t="n">
        <x:f>H101-I101-J101-K101</x:f>
        <x:v>100654</x:v>
      </x:c>
      <x:c r="M101" s="6" t="n">
        <x:v>320736</x:v>
      </x:c>
      <x:c r="N101" s="7" t="n">
        <x:v>0.024</x:v>
      </x:c>
      <x:c r="O101" s="8" t="n">
        <x:v>88.2</x:v>
      </x:c>
    </x:row>
    <x:row r="102">
      <x:c r="A102" s="4" t="n">
        <x:v>45901</x:v>
      </x:c>
      <x:c r="B102" t="str">
        <x:v>华南</x:v>
      </x:c>
      <x:c r="C102" t="str">
        <x:v>企业服务</x:v>
      </x:c>
      <x:c r="D102" t="str">
        <x:v>线上</x:v>
      </x:c>
      <x:c r="E102" s="5" t="n">
        <x:v>134</x:v>
      </x:c>
      <x:c r="F102" s="5" t="n">
        <x:v>145</x:v>
      </x:c>
      <x:c r="G102" s="6" t="n">
        <x:v>2400</x:v>
      </x:c>
      <x:c r="H102" s="6" t="n">
        <x:v>348000</x:v>
      </x:c>
      <x:c r="I102" s="6" t="n">
        <x:v>132240</x:v>
      </x:c>
      <x:c r="J102" s="6" t="n">
        <x:v>2987</x:v>
      </x:c>
      <x:c r="K102" s="6" t="n">
        <x:v>21228</x:v>
      </x:c>
      <x:c r="L102" s="6" t="n">
        <x:f>H102-I102-J102-K102</x:f>
        <x:v>191545</x:v>
      </x:c>
      <x:c r="M102" s="6" t="n">
        <x:v>361920</x:v>
      </x:c>
      <x:c r="N102" s="7" t="n">
        <x:v>0.027</x:v>
      </x:c>
      <x:c r="O102" s="8" t="n">
        <x:v>87.6</x:v>
      </x:c>
    </x:row>
    <x:row r="103">
      <x:c r="A103" s="4" t="n">
        <x:v>45901</x:v>
      </x:c>
      <x:c r="B103" t="str">
        <x:v>华南</x:v>
      </x:c>
      <x:c r="C103" t="str">
        <x:v>订阅会员</x:v>
      </x:c>
      <x:c r="D103" t="str">
        <x:v>线上</x:v>
      </x:c>
      <x:c r="E103" s="5" t="n">
        <x:v>150</x:v>
      </x:c>
      <x:c r="F103" s="5" t="n">
        <x:v>217</x:v>
      </x:c>
      <x:c r="G103" s="6" t="n">
        <x:v>300</x:v>
      </x:c>
      <x:c r="H103" s="6" t="n">
        <x:v>65100</x:v>
      </x:c>
      <x:c r="I103" s="6" t="n">
        <x:v>16275</x:v>
      </x:c>
      <x:c r="J103" s="6" t="n">
        <x:v>2682</x:v>
      </x:c>
      <x:c r="K103" s="6" t="n">
        <x:v>4362</x:v>
      </x:c>
      <x:c r="L103" s="6" t="n">
        <x:f>H103-I103-J103-K103</x:f>
        <x:v>41781</x:v>
      </x:c>
      <x:c r="M103" s="6" t="n">
        <x:v>67704</x:v>
      </x:c>
      <x:c r="N103" s="7" t="n">
        <x:v>0.03</x:v>
      </x:c>
      <x:c r="O103" s="8" t="n">
        <x:v>87</x:v>
      </x:c>
    </x:row>
    <x:row r="104">
      <x:c r="A104" s="4" t="n">
        <x:v>45901</x:v>
      </x:c>
      <x:c r="B104" t="str">
        <x:v>华东</x:v>
      </x:c>
      <x:c r="C104" t="str">
        <x:v>智能设备</x:v>
      </x:c>
      <x:c r="D104" t="str">
        <x:v>直营</x:v>
      </x:c>
      <x:c r="E104" s="5" t="n">
        <x:v>206</x:v>
      </x:c>
      <x:c r="F104" s="5" t="n">
        <x:v>299</x:v>
      </x:c>
      <x:c r="G104" s="6" t="n">
        <x:v>1116</x:v>
      </x:c>
      <x:c r="H104" s="6" t="n">
        <x:v>333684</x:v>
      </x:c>
      <x:c r="I104" s="6" t="n">
        <x:v>201879</x:v>
      </x:c>
      <x:c r="J104" s="6" t="n">
        <x:v>23143</x:v>
      </x:c>
      <x:c r="K104" s="6" t="n">
        <x:v>31700</x:v>
      </x:c>
      <x:c r="L104" s="6" t="n">
        <x:f>H104-I104-J104-K104</x:f>
        <x:v>76962</x:v>
      </x:c>
      <x:c r="M104" s="6" t="n">
        <x:v>373152</x:v>
      </x:c>
      <x:c r="N104" s="7" t="n">
        <x:v>0.062</x:v>
      </x:c>
      <x:c r="O104" s="8" t="n">
        <x:v>77.6</x:v>
      </x:c>
    </x:row>
    <x:row r="105">
      <x:c r="A105" s="4" t="n">
        <x:v>45901</x:v>
      </x:c>
      <x:c r="B105" t="str">
        <x:v>华东</x:v>
      </x:c>
      <x:c r="C105" t="str">
        <x:v>企业服务</x:v>
      </x:c>
      <x:c r="D105" t="str">
        <x:v>直营</x:v>
      </x:c>
      <x:c r="E105" s="5" t="n">
        <x:v>158</x:v>
      </x:c>
      <x:c r="F105" s="5" t="n">
        <x:v>171</x:v>
      </x:c>
      <x:c r="G105" s="6" t="n">
        <x:v>2232</x:v>
      </x:c>
      <x:c r="H105" s="6" t="n">
        <x:v>381672</x:v>
      </x:c>
      <x:c r="I105" s="6" t="n">
        <x:v>145035</x:v>
      </x:c>
      <x:c r="J105" s="6" t="n">
        <x:v>5882</x:v>
      </x:c>
      <x:c r="K105" s="6" t="n">
        <x:v>36259</x:v>
      </x:c>
      <x:c r="L105" s="6" t="n">
        <x:f>H105-I105-J105-K105</x:f>
        <x:v>194496</x:v>
      </x:c>
      <x:c r="M105" s="6" t="n">
        <x:v>426816</x:v>
      </x:c>
      <x:c r="N105" s="7" t="n">
        <x:v>0.069</x:v>
      </x:c>
      <x:c r="O105" s="8" t="n">
        <x:v>75.8</x:v>
      </x:c>
    </x:row>
    <x:row r="106">
      <x:c r="A106" s="4" t="n">
        <x:v>45901</x:v>
      </x:c>
      <x:c r="B106" t="str">
        <x:v>华东</x:v>
      </x:c>
      <x:c r="C106" t="str">
        <x:v>订阅会员</x:v>
      </x:c>
      <x:c r="D106" t="str">
        <x:v>直营</x:v>
      </x:c>
      <x:c r="E106" s="5" t="n">
        <x:v>174</x:v>
      </x:c>
      <x:c r="F106" s="5" t="n">
        <x:v>253</x:v>
      </x:c>
      <x:c r="G106" s="6" t="n">
        <x:v>279</x:v>
      </x:c>
      <x:c r="H106" s="6" t="n">
        <x:v>70587</x:v>
      </x:c>
      <x:c r="I106" s="6" t="n">
        <x:v>17647</x:v>
      </x:c>
      <x:c r="J106" s="6" t="n">
        <x:v>5222</x:v>
      </x:c>
      <x:c r="K106" s="6" t="n">
        <x:v>6706</x:v>
      </x:c>
      <x:c r="L106" s="6" t="n">
        <x:f>H106-I106-J106-K106</x:f>
        <x:v>41012</x:v>
      </x:c>
      <x:c r="M106" s="6" t="n">
        <x:v>78936</x:v>
      </x:c>
      <x:c r="N106" s="7" t="n">
        <x:v>0.07600000000000001</x:v>
      </x:c>
      <x:c r="O106" s="8" t="n">
        <x:v>74</x:v>
      </x:c>
    </x:row>
    <x:row r="107">
      <x:c r="A107" s="4" t="n">
        <x:v>45901</x:v>
      </x:c>
      <x:c r="B107" t="str">
        <x:v>西部</x:v>
      </x:c>
      <x:c r="C107" t="str">
        <x:v>智能设备</x:v>
      </x:c>
      <x:c r="D107" t="str">
        <x:v>经销商</x:v>
      </x:c>
      <x:c r="E107" s="5" t="n">
        <x:v>163</x:v>
      </x:c>
      <x:c r="F107" s="5" t="n">
        <x:v>236</x:v>
      </x:c>
      <x:c r="G107" s="6" t="n">
        <x:v>1200</x:v>
      </x:c>
      <x:c r="H107" s="6" t="n">
        <x:v>283200</x:v>
      </x:c>
      <x:c r="I107" s="6" t="n">
        <x:v>164256</x:v>
      </x:c>
      <x:c r="J107" s="6" t="n">
        <x:v>11576</x:v>
      </x:c>
      <x:c r="K107" s="6" t="n">
        <x:v>15576</x:v>
      </x:c>
      <x:c r="L107" s="6" t="n">
        <x:f>H107-I107-J107-K107</x:f>
        <x:v>91792</x:v>
      </x:c>
      <x:c r="M107" s="6" t="n">
        <x:v>294528</x:v>
      </x:c>
      <x:c r="N107" s="7" t="n">
        <x:v>0.027999999999999997</x:v>
      </x:c>
      <x:c r="O107" s="8" t="n">
        <x:v>86.6</x:v>
      </x:c>
    </x:row>
    <x:row r="108">
      <x:c r="A108" s="4" t="n">
        <x:v>45901</x:v>
      </x:c>
      <x:c r="B108" t="str">
        <x:v>西部</x:v>
      </x:c>
      <x:c r="C108" t="str">
        <x:v>企业服务</x:v>
      </x:c>
      <x:c r="D108" t="str">
        <x:v>经销商</x:v>
      </x:c>
      <x:c r="E108" s="5" t="n">
        <x:v>129</x:v>
      </x:c>
      <x:c r="F108" s="5" t="n">
        <x:v>139</x:v>
      </x:c>
      <x:c r="G108" s="6" t="n">
        <x:v>2400</x:v>
      </x:c>
      <x:c r="H108" s="6" t="n">
        <x:v>333600</x:v>
      </x:c>
      <x:c r="I108" s="6" t="n">
        <x:v>126768</x:v>
      </x:c>
      <x:c r="J108" s="6" t="n">
        <x:v>3030</x:v>
      </x:c>
      <x:c r="K108" s="6" t="n">
        <x:v>20350</x:v>
      </x:c>
      <x:c r="L108" s="6" t="n">
        <x:f>H108-I108-J108-K108</x:f>
        <x:v>183452</x:v>
      </x:c>
      <x:c r="M108" s="6" t="n">
        <x:v>346944</x:v>
      </x:c>
      <x:c r="N108" s="7" t="n">
        <x:v>0.030999999999999996</x:v>
      </x:c>
      <x:c r="O108" s="8" t="n">
        <x:v>86</x:v>
      </x:c>
    </x:row>
    <x:row r="109">
      <x:c r="A109" s="4" t="n">
        <x:v>45901</x:v>
      </x:c>
      <x:c r="B109" t="str">
        <x:v>西部</x:v>
      </x:c>
      <x:c r="C109" t="str">
        <x:v>订阅会员</x:v>
      </x:c>
      <x:c r="D109" t="str">
        <x:v>经销商</x:v>
      </x:c>
      <x:c r="E109" s="5" t="n">
        <x:v>139</x:v>
      </x:c>
      <x:c r="F109" s="5" t="n">
        <x:v>202</x:v>
      </x:c>
      <x:c r="G109" s="6" t="n">
        <x:v>300</x:v>
      </x:c>
      <x:c r="H109" s="6" t="n">
        <x:v>60600</x:v>
      </x:c>
      <x:c r="I109" s="6" t="n">
        <x:v>15150</x:v>
      </x:c>
      <x:c r="J109" s="6" t="n">
        <x:v>2642</x:v>
      </x:c>
      <x:c r="K109" s="6" t="n">
        <x:v>4060</x:v>
      </x:c>
      <x:c r="L109" s="6" t="n">
        <x:f>H109-I109-J109-K109</x:f>
        <x:v>38748</x:v>
      </x:c>
      <x:c r="M109" s="6" t="n">
        <x:v>63024</x:v>
      </x:c>
      <x:c r="N109" s="7" t="n">
        <x:v>0.033999999999999996</x:v>
      </x:c>
      <x:c r="O109" s="8" t="n">
        <x:v>85.4</x:v>
      </x:c>
    </x:row>
    <x:row r="110">
      <x:c r="A110" s="4" t="n">
        <x:v>45931</x:v>
      </x:c>
      <x:c r="B110" t="str">
        <x:v>华北</x:v>
      </x:c>
      <x:c r="C110" t="str">
        <x:v>智能设备</x:v>
      </x:c>
      <x:c r="D110" t="str">
        <x:v>经销商</x:v>
      </x:c>
      <x:c r="E110" s="5" t="n">
        <x:v>168</x:v>
      </x:c>
      <x:c r="F110" s="5" t="n">
        <x:v>243</x:v>
      </x:c>
      <x:c r="G110" s="6" t="n">
        <x:v>1200</x:v>
      </x:c>
      <x:c r="H110" s="6" t="n">
        <x:v>291600</x:v>
      </x:c>
      <x:c r="I110" s="6" t="n">
        <x:v>169128</x:v>
      </x:c>
      <x:c r="J110" s="6" t="n">
        <x:v>10935</x:v>
      </x:c>
      <x:c r="K110" s="6" t="n">
        <x:v>16038</x:v>
      </x:c>
      <x:c r="L110" s="6" t="n">
        <x:f>H110-I110-J110-K110</x:f>
        <x:v>95499</x:v>
      </x:c>
      <x:c r="M110" s="6" t="n">
        <x:v>303264</x:v>
      </x:c>
      <x:c r="N110" s="7" t="n">
        <x:v>0.022</x:v>
      </x:c>
      <x:c r="O110" s="8" t="n">
        <x:v>89.3</x:v>
      </x:c>
    </x:row>
    <x:row r="111">
      <x:c r="A111" s="4" t="n">
        <x:v>45931</x:v>
      </x:c>
      <x:c r="B111" t="str">
        <x:v>华北</x:v>
      </x:c>
      <x:c r="C111" t="str">
        <x:v>企业服务</x:v>
      </x:c>
      <x:c r="D111" t="str">
        <x:v>经销商</x:v>
      </x:c>
      <x:c r="E111" s="5" t="n">
        <x:v>125</x:v>
      </x:c>
      <x:c r="F111" s="5" t="n">
        <x:v>135</x:v>
      </x:c>
      <x:c r="G111" s="6" t="n">
        <x:v>2400</x:v>
      </x:c>
      <x:c r="H111" s="6" t="n">
        <x:v>324000</x:v>
      </x:c>
      <x:c r="I111" s="6" t="n">
        <x:v>123120</x:v>
      </x:c>
      <x:c r="J111" s="6" t="n">
        <x:v>2700</x:v>
      </x:c>
      <x:c r="K111" s="6" t="n">
        <x:v>19764</x:v>
      </x:c>
      <x:c r="L111" s="6" t="n">
        <x:f>H111-I111-J111-K111</x:f>
        <x:v>178416</x:v>
      </x:c>
      <x:c r="M111" s="6" t="n">
        <x:v>336960</x:v>
      </x:c>
      <x:c r="N111" s="7" t="n">
        <x:v>0.024999999999999998</x:v>
      </x:c>
      <x:c r="O111" s="8" t="n">
        <x:v>88.7</x:v>
      </x:c>
    </x:row>
    <x:row r="112">
      <x:c r="A112" s="4" t="n">
        <x:v>45931</x:v>
      </x:c>
      <x:c r="B112" t="str">
        <x:v>华北</x:v>
      </x:c>
      <x:c r="C112" t="str">
        <x:v>订阅会员</x:v>
      </x:c>
      <x:c r="D112" t="str">
        <x:v>经销商</x:v>
      </x:c>
      <x:c r="E112" s="5" t="n">
        <x:v>141</x:v>
      </x:c>
      <x:c r="F112" s="5" t="n">
        <x:v>205</x:v>
      </x:c>
      <x:c r="G112" s="6" t="n">
        <x:v>300</x:v>
      </x:c>
      <x:c r="H112" s="6" t="n">
        <x:v>61500</x:v>
      </x:c>
      <x:c r="I112" s="6" t="n">
        <x:v>15375</x:v>
      </x:c>
      <x:c r="J112" s="6" t="n">
        <x:v>2460</x:v>
      </x:c>
      <x:c r="K112" s="6" t="n">
        <x:v>4121</x:v>
      </x:c>
      <x:c r="L112" s="6" t="n">
        <x:f>H112-I112-J112-K112</x:f>
        <x:v>39544</x:v>
      </x:c>
      <x:c r="M112" s="6" t="n">
        <x:v>63960</x:v>
      </x:c>
      <x:c r="N112" s="7" t="n">
        <x:v>0.027999999999999997</x:v>
      </x:c>
      <x:c r="O112" s="8" t="n">
        <x:v>88.1</x:v>
      </x:c>
    </x:row>
    <x:row r="113">
      <x:c r="A113" s="4" t="n">
        <x:v>45931</x:v>
      </x:c>
      <x:c r="B113" t="str">
        <x:v>华南</x:v>
      </x:c>
      <x:c r="C113" t="str">
        <x:v>智能设备</x:v>
      </x:c>
      <x:c r="D113" t="str">
        <x:v>线上</x:v>
      </x:c>
      <x:c r="E113" s="5" t="n">
        <x:v>180</x:v>
      </x:c>
      <x:c r="F113" s="5" t="n">
        <x:v>261</x:v>
      </x:c>
      <x:c r="G113" s="6" t="n">
        <x:v>1200</x:v>
      </x:c>
      <x:c r="H113" s="6" t="n">
        <x:v>313200</x:v>
      </x:c>
      <x:c r="I113" s="6" t="n">
        <x:v>181656</x:v>
      </x:c>
      <x:c r="J113" s="6" t="n">
        <x:v>12097</x:v>
      </x:c>
      <x:c r="K113" s="6" t="n">
        <x:v>17226</x:v>
      </x:c>
      <x:c r="L113" s="6" t="n">
        <x:f>H113-I113-J113-K113</x:f>
        <x:v>102221</x:v>
      </x:c>
      <x:c r="M113" s="6" t="n">
        <x:v>325728</x:v>
      </x:c>
      <x:c r="N113" s="7" t="n">
        <x:v>0.024</x:v>
      </x:c>
      <x:c r="O113" s="8" t="n">
        <x:v>88.5</x:v>
      </x:c>
    </x:row>
    <x:row r="114">
      <x:c r="A114" s="4" t="n">
        <x:v>45931</x:v>
      </x:c>
      <x:c r="B114" t="str">
        <x:v>华南</x:v>
      </x:c>
      <x:c r="C114" t="str">
        <x:v>企业服务</x:v>
      </x:c>
      <x:c r="D114" t="str">
        <x:v>线上</x:v>
      </x:c>
      <x:c r="E114" s="5" t="n">
        <x:v>136</x:v>
      </x:c>
      <x:c r="F114" s="5" t="n">
        <x:v>147</x:v>
      </x:c>
      <x:c r="G114" s="6" t="n">
        <x:v>2400</x:v>
      </x:c>
      <x:c r="H114" s="6" t="n">
        <x:v>352800</x:v>
      </x:c>
      <x:c r="I114" s="6" t="n">
        <x:v>134064</x:v>
      </x:c>
      <x:c r="J114" s="6" t="n">
        <x:v>3028</x:v>
      </x:c>
      <x:c r="K114" s="6" t="n">
        <x:v>21521</x:v>
      </x:c>
      <x:c r="L114" s="6" t="n">
        <x:f>H114-I114-J114-K114</x:f>
        <x:v>194187</x:v>
      </x:c>
      <x:c r="M114" s="6" t="n">
        <x:v>366912</x:v>
      </x:c>
      <x:c r="N114" s="7" t="n">
        <x:v>0.027</x:v>
      </x:c>
      <x:c r="O114" s="8" t="n">
        <x:v>87.9</x:v>
      </x:c>
    </x:row>
    <x:row r="115">
      <x:c r="A115" s="4" t="n">
        <x:v>45931</x:v>
      </x:c>
      <x:c r="B115" t="str">
        <x:v>华南</x:v>
      </x:c>
      <x:c r="C115" t="str">
        <x:v>订阅会员</x:v>
      </x:c>
      <x:c r="D115" t="str">
        <x:v>线上</x:v>
      </x:c>
      <x:c r="E115" s="5" t="n">
        <x:v>152</x:v>
      </x:c>
      <x:c r="F115" s="5" t="n">
        <x:v>220</x:v>
      </x:c>
      <x:c r="G115" s="6" t="n">
        <x:v>300</x:v>
      </x:c>
      <x:c r="H115" s="6" t="n">
        <x:v>66000</x:v>
      </x:c>
      <x:c r="I115" s="6" t="n">
        <x:v>16500</x:v>
      </x:c>
      <x:c r="J115" s="6" t="n">
        <x:v>2719</x:v>
      </x:c>
      <x:c r="K115" s="6" t="n">
        <x:v>4422</x:v>
      </x:c>
      <x:c r="L115" s="6" t="n">
        <x:f>H115-I115-J115-K115</x:f>
        <x:v>42359</x:v>
      </x:c>
      <x:c r="M115" s="6" t="n">
        <x:v>68640</x:v>
      </x:c>
      <x:c r="N115" s="7" t="n">
        <x:v>0.03</x:v>
      </x:c>
      <x:c r="O115" s="8" t="n">
        <x:v>87.3</x:v>
      </x:c>
    </x:row>
    <x:row r="116">
      <x:c r="A116" s="4" t="n">
        <x:v>45931</x:v>
      </x:c>
      <x:c r="B116" t="str">
        <x:v>华东</x:v>
      </x:c>
      <x:c r="C116" t="str">
        <x:v>智能设备</x:v>
      </x:c>
      <x:c r="D116" t="str">
        <x:v>直营</x:v>
      </x:c>
      <x:c r="E116" s="5" t="n">
        <x:v>210</x:v>
      </x:c>
      <x:c r="F116" s="5" t="n">
        <x:v>304</x:v>
      </x:c>
      <x:c r="G116" s="6" t="n">
        <x:v>1116</x:v>
      </x:c>
      <x:c r="H116" s="6" t="n">
        <x:v>339264</x:v>
      </x:c>
      <x:c r="I116" s="6" t="n">
        <x:v>205255</x:v>
      </x:c>
      <x:c r="J116" s="6" t="n">
        <x:v>23530</x:v>
      </x:c>
      <x:c r="K116" s="6" t="n">
        <x:v>32230</x:v>
      </x:c>
      <x:c r="L116" s="6" t="n">
        <x:f>H116-I116-J116-K116</x:f>
        <x:v>78249</x:v>
      </x:c>
      <x:c r="M116" s="6" t="n">
        <x:v>379392</x:v>
      </x:c>
      <x:c r="N116" s="7" t="n">
        <x:v>0.064</x:v>
      </x:c>
      <x:c r="O116" s="8" t="n">
        <x:v>76.9</x:v>
      </x:c>
    </x:row>
    <x:row r="117">
      <x:c r="A117" s="4" t="n">
        <x:v>45931</x:v>
      </x:c>
      <x:c r="B117" t="str">
        <x:v>华东</x:v>
      </x:c>
      <x:c r="C117" t="str">
        <x:v>企业服务</x:v>
      </x:c>
      <x:c r="D117" t="str">
        <x:v>直营</x:v>
      </x:c>
      <x:c r="E117" s="5" t="n">
        <x:v>160</x:v>
      </x:c>
      <x:c r="F117" s="5" t="n">
        <x:v>173</x:v>
      </x:c>
      <x:c r="G117" s="6" t="n">
        <x:v>2232</x:v>
      </x:c>
      <x:c r="H117" s="6" t="n">
        <x:v>386136</x:v>
      </x:c>
      <x:c r="I117" s="6" t="n">
        <x:v>146732</x:v>
      </x:c>
      <x:c r="J117" s="6" t="n">
        <x:v>5951</x:v>
      </x:c>
      <x:c r="K117" s="6" t="n">
        <x:v>36683</x:v>
      </x:c>
      <x:c r="L117" s="6" t="n">
        <x:f>H117-I117-J117-K117</x:f>
        <x:v>196770</x:v>
      </x:c>
      <x:c r="M117" s="6" t="n">
        <x:v>431808</x:v>
      </x:c>
      <x:c r="N117" s="7" t="n">
        <x:v>0.07100000000000001</x:v>
      </x:c>
      <x:c r="O117" s="8" t="n">
        <x:v>75.1</x:v>
      </x:c>
    </x:row>
    <x:row r="118">
      <x:c r="A118" s="4" t="n">
        <x:v>45931</x:v>
      </x:c>
      <x:c r="B118" t="str">
        <x:v>华东</x:v>
      </x:c>
      <x:c r="C118" t="str">
        <x:v>订阅会员</x:v>
      </x:c>
      <x:c r="D118" t="str">
        <x:v>直营</x:v>
      </x:c>
      <x:c r="E118" s="5" t="n">
        <x:v>177</x:v>
      </x:c>
      <x:c r="F118" s="5" t="n">
        <x:v>257</x:v>
      </x:c>
      <x:c r="G118" s="6" t="n">
        <x:v>279</x:v>
      </x:c>
      <x:c r="H118" s="6" t="n">
        <x:v>71703</x:v>
      </x:c>
      <x:c r="I118" s="6" t="n">
        <x:v>17926</x:v>
      </x:c>
      <x:c r="J118" s="6" t="n">
        <x:v>5304</x:v>
      </x:c>
      <x:c r="K118" s="6" t="n">
        <x:v>6812</x:v>
      </x:c>
      <x:c r="L118" s="6" t="n">
        <x:f>H118-I118-J118-K118</x:f>
        <x:v>41661</x:v>
      </x:c>
      <x:c r="M118" s="6" t="n">
        <x:v>80184</x:v>
      </x:c>
      <x:c r="N118" s="7" t="n">
        <x:v>0.07800000000000001</x:v>
      </x:c>
      <x:c r="O118" s="8" t="n">
        <x:v>73.3</x:v>
      </x:c>
    </x:row>
    <x:row r="119">
      <x:c r="A119" s="4" t="n">
        <x:v>45931</x:v>
      </x:c>
      <x:c r="B119" t="str">
        <x:v>西部</x:v>
      </x:c>
      <x:c r="C119" t="str">
        <x:v>智能设备</x:v>
      </x:c>
      <x:c r="D119" t="str">
        <x:v>经销商</x:v>
      </x:c>
      <x:c r="E119" s="5" t="n">
        <x:v>166</x:v>
      </x:c>
      <x:c r="F119" s="5" t="n">
        <x:v>240</x:v>
      </x:c>
      <x:c r="G119" s="6" t="n">
        <x:v>1200</x:v>
      </x:c>
      <x:c r="H119" s="6" t="n">
        <x:v>288000</x:v>
      </x:c>
      <x:c r="I119" s="6" t="n">
        <x:v>167040</x:v>
      </x:c>
      <x:c r="J119" s="6" t="n">
        <x:v>11772</x:v>
      </x:c>
      <x:c r="K119" s="6" t="n">
        <x:v>15840</x:v>
      </x:c>
      <x:c r="L119" s="6" t="n">
        <x:f>H119-I119-J119-K119</x:f>
        <x:v>93348</x:v>
      </x:c>
      <x:c r="M119" s="6" t="n">
        <x:v>299520</x:v>
      </x:c>
      <x:c r="N119" s="7" t="n">
        <x:v>0.027999999999999997</x:v>
      </x:c>
      <x:c r="O119" s="8" t="n">
        <x:v>86.9</x:v>
      </x:c>
    </x:row>
    <x:row r="120">
      <x:c r="A120" s="4" t="n">
        <x:v>45931</x:v>
      </x:c>
      <x:c r="B120" t="str">
        <x:v>西部</x:v>
      </x:c>
      <x:c r="C120" t="str">
        <x:v>企业服务</x:v>
      </x:c>
      <x:c r="D120" t="str">
        <x:v>经销商</x:v>
      </x:c>
      <x:c r="E120" s="5" t="n">
        <x:v>131</x:v>
      </x:c>
      <x:c r="F120" s="5" t="n">
        <x:v>141</x:v>
      </x:c>
      <x:c r="G120" s="6" t="n">
        <x:v>2400</x:v>
      </x:c>
      <x:c r="H120" s="6" t="n">
        <x:v>338400</x:v>
      </x:c>
      <x:c r="I120" s="6" t="n">
        <x:v>128592</x:v>
      </x:c>
      <x:c r="J120" s="6" t="n">
        <x:v>3074</x:v>
      </x:c>
      <x:c r="K120" s="6" t="n">
        <x:v>20642</x:v>
      </x:c>
      <x:c r="L120" s="6" t="n">
        <x:f>H120-I120-J120-K120</x:f>
        <x:v>186092</x:v>
      </x:c>
      <x:c r="M120" s="6" t="n">
        <x:v>351936</x:v>
      </x:c>
      <x:c r="N120" s="7" t="n">
        <x:v>0.030999999999999996</x:v>
      </x:c>
      <x:c r="O120" s="8" t="n">
        <x:v>86.3</x:v>
      </x:c>
    </x:row>
    <x:row r="121">
      <x:c r="A121" s="4" t="n">
        <x:v>45931</x:v>
      </x:c>
      <x:c r="B121" t="str">
        <x:v>西部</x:v>
      </x:c>
      <x:c r="C121" t="str">
        <x:v>订阅会员</x:v>
      </x:c>
      <x:c r="D121" t="str">
        <x:v>经销商</x:v>
      </x:c>
      <x:c r="E121" s="5" t="n">
        <x:v>141</x:v>
      </x:c>
      <x:c r="F121" s="5" t="n">
        <x:v>205</x:v>
      </x:c>
      <x:c r="G121" s="6" t="n">
        <x:v>300</x:v>
      </x:c>
      <x:c r="H121" s="6" t="n">
        <x:v>61500</x:v>
      </x:c>
      <x:c r="I121" s="6" t="n">
        <x:v>15375</x:v>
      </x:c>
      <x:c r="J121" s="6" t="n">
        <x:v>2681</x:v>
      </x:c>
      <x:c r="K121" s="6" t="n">
        <x:v>4121</x:v>
      </x:c>
      <x:c r="L121" s="6" t="n">
        <x:f>H121-I121-J121-K121</x:f>
        <x:v>39323</x:v>
      </x:c>
      <x:c r="M121" s="6" t="n">
        <x:v>63960</x:v>
      </x:c>
      <x:c r="N121" s="7" t="n">
        <x:v>0.033999999999999996</x:v>
      </x:c>
      <x:c r="O121" s="8" t="n">
        <x:v>85.7</x:v>
      </x:c>
    </x:row>
    <x:row r="122">
      <x:c r="A122" s="4" t="n">
        <x:v>45962</x:v>
      </x:c>
      <x:c r="B122" t="str">
        <x:v>华北</x:v>
      </x:c>
      <x:c r="C122" t="str">
        <x:v>智能设备</x:v>
      </x:c>
      <x:c r="D122" t="str">
        <x:v>经销商</x:v>
      </x:c>
      <x:c r="E122" s="5" t="n">
        <x:v>181</x:v>
      </x:c>
      <x:c r="F122" s="5" t="n">
        <x:v>263</x:v>
      </x:c>
      <x:c r="G122" s="6" t="n">
        <x:v>1200</x:v>
      </x:c>
      <x:c r="H122" s="6" t="n">
        <x:v>315600</x:v>
      </x:c>
      <x:c r="I122" s="6" t="n">
        <x:v>183048</x:v>
      </x:c>
      <x:c r="J122" s="6" t="n">
        <x:v>11835</x:v>
      </x:c>
      <x:c r="K122" s="6" t="n">
        <x:v>17358</x:v>
      </x:c>
      <x:c r="L122" s="6" t="n">
        <x:f>H122-I122-J122-K122</x:f>
        <x:v>103359</x:v>
      </x:c>
      <x:c r="M122" s="6" t="n">
        <x:v>328224</x:v>
      </x:c>
      <x:c r="N122" s="7" t="n">
        <x:v>0.022</x:v>
      </x:c>
      <x:c r="O122" s="8" t="n">
        <x:v>89.6</x:v>
      </x:c>
    </x:row>
    <x:row r="123">
      <x:c r="A123" s="4" t="n">
        <x:v>45962</x:v>
      </x:c>
      <x:c r="B123" t="str">
        <x:v>华北</x:v>
      </x:c>
      <x:c r="C123" t="str">
        <x:v>企业服务</x:v>
      </x:c>
      <x:c r="D123" t="str">
        <x:v>经销商</x:v>
      </x:c>
      <x:c r="E123" s="5" t="n">
        <x:v>136</x:v>
      </x:c>
      <x:c r="F123" s="5" t="n">
        <x:v>147</x:v>
      </x:c>
      <x:c r="G123" s="6" t="n">
        <x:v>2400</x:v>
      </x:c>
      <x:c r="H123" s="6" t="n">
        <x:v>352800</x:v>
      </x:c>
      <x:c r="I123" s="6" t="n">
        <x:v>134064</x:v>
      </x:c>
      <x:c r="J123" s="6" t="n">
        <x:v>2940</x:v>
      </x:c>
      <x:c r="K123" s="6" t="n">
        <x:v>21521</x:v>
      </x:c>
      <x:c r="L123" s="6" t="n">
        <x:f>H123-I123-J123-K123</x:f>
        <x:v>194275</x:v>
      </x:c>
      <x:c r="M123" s="6" t="n">
        <x:v>366912</x:v>
      </x:c>
      <x:c r="N123" s="7" t="n">
        <x:v>0.024999999999999998</x:v>
      </x:c>
      <x:c r="O123" s="8" t="n">
        <x:v>89</x:v>
      </x:c>
    </x:row>
    <x:row r="124">
      <x:c r="A124" s="4" t="n">
        <x:v>45962</x:v>
      </x:c>
      <x:c r="B124" t="str">
        <x:v>华北</x:v>
      </x:c>
      <x:c r="C124" t="str">
        <x:v>订阅会员</x:v>
      </x:c>
      <x:c r="D124" t="str">
        <x:v>经销商</x:v>
      </x:c>
      <x:c r="E124" s="5" t="n">
        <x:v>152</x:v>
      </x:c>
      <x:c r="F124" s="5" t="n">
        <x:v>221</x:v>
      </x:c>
      <x:c r="G124" s="6" t="n">
        <x:v>300</x:v>
      </x:c>
      <x:c r="H124" s="6" t="n">
        <x:v>66300</x:v>
      </x:c>
      <x:c r="I124" s="6" t="n">
        <x:v>16575</x:v>
      </x:c>
      <x:c r="J124" s="6" t="n">
        <x:v>2652</x:v>
      </x:c>
      <x:c r="K124" s="6" t="n">
        <x:v>4442</x:v>
      </x:c>
      <x:c r="L124" s="6" t="n">
        <x:f>H124-I124-J124-K124</x:f>
        <x:v>42631</x:v>
      </x:c>
      <x:c r="M124" s="6" t="n">
        <x:v>68952</x:v>
      </x:c>
      <x:c r="N124" s="7" t="n">
        <x:v>0.027999999999999997</x:v>
      </x:c>
      <x:c r="O124" s="8" t="n">
        <x:v>88.4</x:v>
      </x:c>
    </x:row>
    <x:row r="125">
      <x:c r="A125" s="4" t="n">
        <x:v>45962</x:v>
      </x:c>
      <x:c r="B125" t="str">
        <x:v>华南</x:v>
      </x:c>
      <x:c r="C125" t="str">
        <x:v>智能设备</x:v>
      </x:c>
      <x:c r="D125" t="str">
        <x:v>线上</x:v>
      </x:c>
      <x:c r="E125" s="5" t="n">
        <x:v>194</x:v>
      </x:c>
      <x:c r="F125" s="5" t="n">
        <x:v>282</x:v>
      </x:c>
      <x:c r="G125" s="6" t="n">
        <x:v>1200</x:v>
      </x:c>
      <x:c r="H125" s="6" t="n">
        <x:v>338400</x:v>
      </x:c>
      <x:c r="I125" s="6" t="n">
        <x:v>196272</x:v>
      </x:c>
      <x:c r="J125" s="6" t="n">
        <x:v>13071</x:v>
      </x:c>
      <x:c r="K125" s="6" t="n">
        <x:v>18612</x:v>
      </x:c>
      <x:c r="L125" s="6" t="n">
        <x:f>H125-I125-J125-K125</x:f>
        <x:v>110445</x:v>
      </x:c>
      <x:c r="M125" s="6" t="n">
        <x:v>351936</x:v>
      </x:c>
      <x:c r="N125" s="7" t="n">
        <x:v>0.024</x:v>
      </x:c>
      <x:c r="O125" s="8" t="n">
        <x:v>88.8</x:v>
      </x:c>
    </x:row>
    <x:row r="126">
      <x:c r="A126" s="4" t="n">
        <x:v>45962</x:v>
      </x:c>
      <x:c r="B126" t="str">
        <x:v>华南</x:v>
      </x:c>
      <x:c r="C126" t="str">
        <x:v>企业服务</x:v>
      </x:c>
      <x:c r="D126" t="str">
        <x:v>线上</x:v>
      </x:c>
      <x:c r="E126" s="5" t="n">
        <x:v>147</x:v>
      </x:c>
      <x:c r="F126" s="5" t="n">
        <x:v>159</x:v>
      </x:c>
      <x:c r="G126" s="6" t="n">
        <x:v>2400</x:v>
      </x:c>
      <x:c r="H126" s="6" t="n">
        <x:v>381600</x:v>
      </x:c>
      <x:c r="I126" s="6" t="n">
        <x:v>145008</x:v>
      </x:c>
      <x:c r="J126" s="6" t="n">
        <x:v>3275</x:v>
      </x:c>
      <x:c r="K126" s="6" t="n">
        <x:v>23278</x:v>
      </x:c>
      <x:c r="L126" s="6" t="n">
        <x:f>H126-I126-J126-K126</x:f>
        <x:v>210039</x:v>
      </x:c>
      <x:c r="M126" s="6" t="n">
        <x:v>396864</x:v>
      </x:c>
      <x:c r="N126" s="7" t="n">
        <x:v>0.027</x:v>
      </x:c>
      <x:c r="O126" s="8" t="n">
        <x:v>88.2</x:v>
      </x:c>
    </x:row>
    <x:row r="127">
      <x:c r="A127" s="4" t="n">
        <x:v>45962</x:v>
      </x:c>
      <x:c r="B127" t="str">
        <x:v>华南</x:v>
      </x:c>
      <x:c r="C127" t="str">
        <x:v>订阅会员</x:v>
      </x:c>
      <x:c r="D127" t="str">
        <x:v>线上</x:v>
      </x:c>
      <x:c r="E127" s="5" t="n">
        <x:v>164</x:v>
      </x:c>
      <x:c r="F127" s="5" t="n">
        <x:v>238</x:v>
      </x:c>
      <x:c r="G127" s="6" t="n">
        <x:v>300</x:v>
      </x:c>
      <x:c r="H127" s="6" t="n">
        <x:v>71400</x:v>
      </x:c>
      <x:c r="I127" s="6" t="n">
        <x:v>17850</x:v>
      </x:c>
      <x:c r="J127" s="6" t="n">
        <x:v>2942</x:v>
      </x:c>
      <x:c r="K127" s="6" t="n">
        <x:v>4784</x:v>
      </x:c>
      <x:c r="L127" s="6" t="n">
        <x:f>H127-I127-J127-K127</x:f>
        <x:v>45824</x:v>
      </x:c>
      <x:c r="M127" s="6" t="n">
        <x:v>74256</x:v>
      </x:c>
      <x:c r="N127" s="7" t="n">
        <x:v>0.03</x:v>
      </x:c>
      <x:c r="O127" s="8" t="n">
        <x:v>87.6</x:v>
      </x:c>
    </x:row>
    <x:row r="128">
      <x:c r="A128" s="4" t="n">
        <x:v>45962</x:v>
      </x:c>
      <x:c r="B128" t="str">
        <x:v>华东</x:v>
      </x:c>
      <x:c r="C128" t="str">
        <x:v>智能设备</x:v>
      </x:c>
      <x:c r="D128" t="str">
        <x:v>直营</x:v>
      </x:c>
      <x:c r="E128" s="5" t="n">
        <x:v>227</x:v>
      </x:c>
      <x:c r="F128" s="5" t="n">
        <x:v>329</x:v>
      </x:c>
      <x:c r="G128" s="6" t="n">
        <x:v>1116</x:v>
      </x:c>
      <x:c r="H128" s="6" t="n">
        <x:v>367164</x:v>
      </x:c>
      <x:c r="I128" s="6" t="n">
        <x:v>222134</x:v>
      </x:c>
      <x:c r="J128" s="6" t="n">
        <x:v>25465</x:v>
      </x:c>
      <x:c r="K128" s="6" t="n">
        <x:v>34881</x:v>
      </x:c>
      <x:c r="L128" s="6" t="n">
        <x:f>H128-I128-J128-K128</x:f>
        <x:v>84684</x:v>
      </x:c>
      <x:c r="M128" s="6" t="n">
        <x:v>410592</x:v>
      </x:c>
      <x:c r="N128" s="7" t="n">
        <x:v>0.066</x:v>
      </x:c>
      <x:c r="O128" s="8" t="n">
        <x:v>76.2</x:v>
      </x:c>
    </x:row>
    <x:row r="129">
      <x:c r="A129" s="4" t="n">
        <x:v>45962</x:v>
      </x:c>
      <x:c r="B129" t="str">
        <x:v>华东</x:v>
      </x:c>
      <x:c r="C129" t="str">
        <x:v>企业服务</x:v>
      </x:c>
      <x:c r="D129" t="str">
        <x:v>直营</x:v>
      </x:c>
      <x:c r="E129" s="5" t="n">
        <x:v>173</x:v>
      </x:c>
      <x:c r="F129" s="5" t="n">
        <x:v>187</x:v>
      </x:c>
      <x:c r="G129" s="6" t="n">
        <x:v>2232</x:v>
      </x:c>
      <x:c r="H129" s="6" t="n">
        <x:v>417384</x:v>
      </x:c>
      <x:c r="I129" s="6" t="n">
        <x:v>158606</x:v>
      </x:c>
      <x:c r="J129" s="6" t="n">
        <x:v>6433</x:v>
      </x:c>
      <x:c r="K129" s="6" t="n">
        <x:v>39651</x:v>
      </x:c>
      <x:c r="L129" s="6" t="n">
        <x:f>H129-I129-J129-K129</x:f>
        <x:v>212694</x:v>
      </x:c>
      <x:c r="M129" s="6" t="n">
        <x:v>466752</x:v>
      </x:c>
      <x:c r="N129" s="7" t="n">
        <x:v>0.07300000000000001</x:v>
      </x:c>
      <x:c r="O129" s="8" t="n">
        <x:v>74.4</x:v>
      </x:c>
    </x:row>
    <x:row r="130">
      <x:c r="A130" s="4" t="n">
        <x:v>45962</x:v>
      </x:c>
      <x:c r="B130" t="str">
        <x:v>华东</x:v>
      </x:c>
      <x:c r="C130" t="str">
        <x:v>订阅会员</x:v>
      </x:c>
      <x:c r="D130" t="str">
        <x:v>直营</x:v>
      </x:c>
      <x:c r="E130" s="5" t="n">
        <x:v>191</x:v>
      </x:c>
      <x:c r="F130" s="5" t="n">
        <x:v>277</x:v>
      </x:c>
      <x:c r="G130" s="6" t="n">
        <x:v>279</x:v>
      </x:c>
      <x:c r="H130" s="6" t="n">
        <x:v>77283</x:v>
      </x:c>
      <x:c r="I130" s="6" t="n">
        <x:v>19321</x:v>
      </x:c>
      <x:c r="J130" s="6" t="n">
        <x:v>5717</x:v>
      </x:c>
      <x:c r="K130" s="6" t="n">
        <x:v>7342</x:v>
      </x:c>
      <x:c r="L130" s="6" t="n">
        <x:f>H130-I130-J130-K130</x:f>
        <x:v>44903</x:v>
      </x:c>
      <x:c r="M130" s="6" t="n">
        <x:v>86424</x:v>
      </x:c>
      <x:c r="N130" s="7" t="n">
        <x:v>0.08000000000000002</x:v>
      </x:c>
      <x:c r="O130" s="8" t="n">
        <x:v>72.6</x:v>
      </x:c>
    </x:row>
    <x:row r="131">
      <x:c r="A131" s="4" t="n">
        <x:v>45962</x:v>
      </x:c>
      <x:c r="B131" t="str">
        <x:v>西部</x:v>
      </x:c>
      <x:c r="C131" t="str">
        <x:v>智能设备</x:v>
      </x:c>
      <x:c r="D131" t="str">
        <x:v>经销商</x:v>
      </x:c>
      <x:c r="E131" s="5" t="n">
        <x:v>179</x:v>
      </x:c>
      <x:c r="F131" s="5" t="n">
        <x:v>259</x:v>
      </x:c>
      <x:c r="G131" s="6" t="n">
        <x:v>1200</x:v>
      </x:c>
      <x:c r="H131" s="6" t="n">
        <x:v>310800</x:v>
      </x:c>
      <x:c r="I131" s="6" t="n">
        <x:v>180264</x:v>
      </x:c>
      <x:c r="J131" s="6" t="n">
        <x:v>12704</x:v>
      </x:c>
      <x:c r="K131" s="6" t="n">
        <x:v>17094</x:v>
      </x:c>
      <x:c r="L131" s="6" t="n">
        <x:f>H131-I131-J131-K131</x:f>
        <x:v>100738</x:v>
      </x:c>
      <x:c r="M131" s="6" t="n">
        <x:v>323232</x:v>
      </x:c>
      <x:c r="N131" s="7" t="n">
        <x:v>0.027999999999999997</x:v>
      </x:c>
      <x:c r="O131" s="8" t="n">
        <x:v>87.2</x:v>
      </x:c>
    </x:row>
    <x:row r="132">
      <x:c r="A132" s="4" t="n">
        <x:v>45962</x:v>
      </x:c>
      <x:c r="B132" t="str">
        <x:v>西部</x:v>
      </x:c>
      <x:c r="C132" t="str">
        <x:v>企业服务</x:v>
      </x:c>
      <x:c r="D132" t="str">
        <x:v>经销商</x:v>
      </x:c>
      <x:c r="E132" s="5" t="n">
        <x:v>140</x:v>
      </x:c>
      <x:c r="F132" s="5" t="n">
        <x:v>151</x:v>
      </x:c>
      <x:c r="G132" s="6" t="n">
        <x:v>2400</x:v>
      </x:c>
      <x:c r="H132" s="6" t="n">
        <x:v>362400</x:v>
      </x:c>
      <x:c r="I132" s="6" t="n">
        <x:v>137712</x:v>
      </x:c>
      <x:c r="J132" s="6" t="n">
        <x:v>3292</x:v>
      </x:c>
      <x:c r="K132" s="6" t="n">
        <x:v>22106</x:v>
      </x:c>
      <x:c r="L132" s="6" t="n">
        <x:f>H132-I132-J132-K132</x:f>
        <x:v>199290</x:v>
      </x:c>
      <x:c r="M132" s="6" t="n">
        <x:v>376896</x:v>
      </x:c>
      <x:c r="N132" s="7" t="n">
        <x:v>0.030999999999999996</x:v>
      </x:c>
      <x:c r="O132" s="8" t="n">
        <x:v>86.6</x:v>
      </x:c>
    </x:row>
    <x:row r="133">
      <x:c r="A133" s="4" t="n">
        <x:v>45962</x:v>
      </x:c>
      <x:c r="B133" t="str">
        <x:v>西部</x:v>
      </x:c>
      <x:c r="C133" t="str">
        <x:v>订阅会员</x:v>
      </x:c>
      <x:c r="D133" t="str">
        <x:v>经销商</x:v>
      </x:c>
      <x:c r="E133" s="5" t="n">
        <x:v>152</x:v>
      </x:c>
      <x:c r="F133" s="5" t="n">
        <x:v>221</x:v>
      </x:c>
      <x:c r="G133" s="6" t="n">
        <x:v>300</x:v>
      </x:c>
      <x:c r="H133" s="6" t="n">
        <x:v>66300</x:v>
      </x:c>
      <x:c r="I133" s="6" t="n">
        <x:v>16575</x:v>
      </x:c>
      <x:c r="J133" s="6" t="n">
        <x:v>2891</x:v>
      </x:c>
      <x:c r="K133" s="6" t="n">
        <x:v>4442</x:v>
      </x:c>
      <x:c r="L133" s="6" t="n">
        <x:f>H133-I133-J133-K133</x:f>
        <x:v>42392</x:v>
      </x:c>
      <x:c r="M133" s="6" t="n">
        <x:v>68952</x:v>
      </x:c>
      <x:c r="N133" s="7" t="n">
        <x:v>0.033999999999999996</x:v>
      </x:c>
      <x:c r="O133" s="8" t="n">
        <x:v>86</x:v>
      </x:c>
    </x:row>
    <x:row r="134">
      <x:c r="A134" s="4" t="n">
        <x:v>45992</x:v>
      </x:c>
      <x:c r="B134" t="str">
        <x:v>华北</x:v>
      </x:c>
      <x:c r="C134" t="str">
        <x:v>智能设备</x:v>
      </x:c>
      <x:c r="D134" t="str">
        <x:v>经销商</x:v>
      </x:c>
      <x:c r="E134" s="5" t="n">
        <x:v>172</x:v>
      </x:c>
      <x:c r="F134" s="5" t="n">
        <x:v>250</x:v>
      </x:c>
      <x:c r="G134" s="6" t="n">
        <x:v>1200</x:v>
      </x:c>
      <x:c r="H134" s="6" t="n">
        <x:v>300000</x:v>
      </x:c>
      <x:c r="I134" s="6" t="n">
        <x:v>174000</x:v>
      </x:c>
      <x:c r="J134" s="6" t="n">
        <x:v>11250</x:v>
      </x:c>
      <x:c r="K134" s="6" t="n">
        <x:v>16500</x:v>
      </x:c>
      <x:c r="L134" s="6" t="n">
        <x:f>H134-I134-J134-K134</x:f>
        <x:v>98250</x:v>
      </x:c>
      <x:c r="M134" s="6" t="n">
        <x:v>312000</x:v>
      </x:c>
      <x:c r="N134" s="7" t="n">
        <x:v>0.022</x:v>
      </x:c>
      <x:c r="O134" s="8" t="n">
        <x:v>89</x:v>
      </x:c>
    </x:row>
    <x:row r="135">
      <x:c r="A135" s="4" t="n">
        <x:v>45992</x:v>
      </x:c>
      <x:c r="B135" t="str">
        <x:v>华北</x:v>
      </x:c>
      <x:c r="C135" t="str">
        <x:v>企业服务</x:v>
      </x:c>
      <x:c r="D135" t="str">
        <x:v>经销商</x:v>
      </x:c>
      <x:c r="E135" s="5" t="n">
        <x:v>130</x:v>
      </x:c>
      <x:c r="F135" s="5" t="n">
        <x:v>140</x:v>
      </x:c>
      <x:c r="G135" s="6" t="n">
        <x:v>2400</x:v>
      </x:c>
      <x:c r="H135" s="6" t="n">
        <x:v>336000</x:v>
      </x:c>
      <x:c r="I135" s="6" t="n">
        <x:v>127680</x:v>
      </x:c>
      <x:c r="J135" s="6" t="n">
        <x:v>2800</x:v>
      </x:c>
      <x:c r="K135" s="6" t="n">
        <x:v>20496</x:v>
      </x:c>
      <x:c r="L135" s="6" t="n">
        <x:f>H135-I135-J135-K135</x:f>
        <x:v>185024</x:v>
      </x:c>
      <x:c r="M135" s="6" t="n">
        <x:v>349440</x:v>
      </x:c>
      <x:c r="N135" s="7" t="n">
        <x:v>0.024999999999999998</x:v>
      </x:c>
      <x:c r="O135" s="8" t="n">
        <x:v>88.4</x:v>
      </x:c>
    </x:row>
    <x:row r="136">
      <x:c r="A136" s="4" t="n">
        <x:v>45992</x:v>
      </x:c>
      <x:c r="B136" t="str">
        <x:v>华北</x:v>
      </x:c>
      <x:c r="C136" t="str">
        <x:v>订阅会员</x:v>
      </x:c>
      <x:c r="D136" t="str">
        <x:v>经销商</x:v>
      </x:c>
      <x:c r="E136" s="5" t="n">
        <x:v>146</x:v>
      </x:c>
      <x:c r="F136" s="5" t="n">
        <x:v>211</x:v>
      </x:c>
      <x:c r="G136" s="6" t="n">
        <x:v>300</x:v>
      </x:c>
      <x:c r="H136" s="6" t="n">
        <x:v>63300</x:v>
      </x:c>
      <x:c r="I136" s="6" t="n">
        <x:v>15825</x:v>
      </x:c>
      <x:c r="J136" s="6" t="n">
        <x:v>2532</x:v>
      </x:c>
      <x:c r="K136" s="6" t="n">
        <x:v>4241</x:v>
      </x:c>
      <x:c r="L136" s="6" t="n">
        <x:f>H136-I136-J136-K136</x:f>
        <x:v>40702</x:v>
      </x:c>
      <x:c r="M136" s="6" t="n">
        <x:v>65832</x:v>
      </x:c>
      <x:c r="N136" s="7" t="n">
        <x:v>0.027999999999999997</x:v>
      </x:c>
      <x:c r="O136" s="8" t="n">
        <x:v>87.8</x:v>
      </x:c>
    </x:row>
    <x:row r="137">
      <x:c r="A137" s="4" t="n">
        <x:v>45992</x:v>
      </x:c>
      <x:c r="B137" t="str">
        <x:v>华南</x:v>
      </x:c>
      <x:c r="C137" t="str">
        <x:v>智能设备</x:v>
      </x:c>
      <x:c r="D137" t="str">
        <x:v>线上</x:v>
      </x:c>
      <x:c r="E137" s="5" t="n">
        <x:v>186</x:v>
      </x:c>
      <x:c r="F137" s="5" t="n">
        <x:v>269</x:v>
      </x:c>
      <x:c r="G137" s="6" t="n">
        <x:v>1200</x:v>
      </x:c>
      <x:c r="H137" s="6" t="n">
        <x:v>322800</x:v>
      </x:c>
      <x:c r="I137" s="6" t="n">
        <x:v>187224</x:v>
      </x:c>
      <x:c r="J137" s="6" t="n">
        <x:v>12468</x:v>
      </x:c>
      <x:c r="K137" s="6" t="n">
        <x:v>17754</x:v>
      </x:c>
      <x:c r="L137" s="6" t="n">
        <x:f>H137-I137-J137-K137</x:f>
        <x:v>105354</x:v>
      </x:c>
      <x:c r="M137" s="6" t="n">
        <x:v>335712</x:v>
      </x:c>
      <x:c r="N137" s="7" t="n">
        <x:v>0.024</x:v>
      </x:c>
      <x:c r="O137" s="8" t="n">
        <x:v>88.2</x:v>
      </x:c>
    </x:row>
    <x:row r="138">
      <x:c r="A138" s="4" t="n">
        <x:v>45992</x:v>
      </x:c>
      <x:c r="B138" t="str">
        <x:v>华南</x:v>
      </x:c>
      <x:c r="C138" t="str">
        <x:v>企业服务</x:v>
      </x:c>
      <x:c r="D138" t="str">
        <x:v>线上</x:v>
      </x:c>
      <x:c r="E138" s="5" t="n">
        <x:v>141</x:v>
      </x:c>
      <x:c r="F138" s="5" t="n">
        <x:v>152</x:v>
      </x:c>
      <x:c r="G138" s="6" t="n">
        <x:v>2400</x:v>
      </x:c>
      <x:c r="H138" s="6" t="n">
        <x:v>364800</x:v>
      </x:c>
      <x:c r="I138" s="6" t="n">
        <x:v>138624</x:v>
      </x:c>
      <x:c r="J138" s="6" t="n">
        <x:v>3131</x:v>
      </x:c>
      <x:c r="K138" s="6" t="n">
        <x:v>22253</x:v>
      </x:c>
      <x:c r="L138" s="6" t="n">
        <x:f>H138-I138-J138-K138</x:f>
        <x:v>200792</x:v>
      </x:c>
      <x:c r="M138" s="6" t="n">
        <x:v>379392</x:v>
      </x:c>
      <x:c r="N138" s="7" t="n">
        <x:v>0.027</x:v>
      </x:c>
      <x:c r="O138" s="8" t="n">
        <x:v>87.6</x:v>
      </x:c>
    </x:row>
    <x:row r="139">
      <x:c r="A139" s="4" t="n">
        <x:v>45992</x:v>
      </x:c>
      <x:c r="B139" t="str">
        <x:v>华南</x:v>
      </x:c>
      <x:c r="C139" t="str">
        <x:v>订阅会员</x:v>
      </x:c>
      <x:c r="D139" t="str">
        <x:v>线上</x:v>
      </x:c>
      <x:c r="E139" s="5" t="n">
        <x:v>157</x:v>
      </x:c>
      <x:c r="F139" s="5" t="n">
        <x:v>227</x:v>
      </x:c>
      <x:c r="G139" s="6" t="n">
        <x:v>300</x:v>
      </x:c>
      <x:c r="H139" s="6" t="n">
        <x:v>68100</x:v>
      </x:c>
      <x:c r="I139" s="6" t="n">
        <x:v>17025</x:v>
      </x:c>
      <x:c r="J139" s="6" t="n">
        <x:v>2806</x:v>
      </x:c>
      <x:c r="K139" s="6" t="n">
        <x:v>4563</x:v>
      </x:c>
      <x:c r="L139" s="6" t="n">
        <x:f>H139-I139-J139-K139</x:f>
        <x:v>43706</x:v>
      </x:c>
      <x:c r="M139" s="6" t="n">
        <x:v>70824</x:v>
      </x:c>
      <x:c r="N139" s="7" t="n">
        <x:v>0.03</x:v>
      </x:c>
      <x:c r="O139" s="8" t="n">
        <x:v>87</x:v>
      </x:c>
    </x:row>
    <x:row r="140">
      <x:c r="A140" s="4" t="n">
        <x:v>45992</x:v>
      </x:c>
      <x:c r="B140" t="str">
        <x:v>华东</x:v>
      </x:c>
      <x:c r="C140" t="str">
        <x:v>智能设备</x:v>
      </x:c>
      <x:c r="D140" t="str">
        <x:v>直营</x:v>
      </x:c>
      <x:c r="E140" s="5" t="n">
        <x:v>216</x:v>
      </x:c>
      <x:c r="F140" s="5" t="n">
        <x:v>313</x:v>
      </x:c>
      <x:c r="G140" s="6" t="n">
        <x:v>1116</x:v>
      </x:c>
      <x:c r="H140" s="6" t="n">
        <x:v>349308</x:v>
      </x:c>
      <x:c r="I140" s="6" t="n">
        <x:v>211331</x:v>
      </x:c>
      <x:c r="J140" s="6" t="n">
        <x:v>24226</x:v>
      </x:c>
      <x:c r="K140" s="6" t="n">
        <x:v>33184</x:v>
      </x:c>
      <x:c r="L140" s="6" t="n">
        <x:f>H140-I140-J140-K140</x:f>
        <x:v>80567</x:v>
      </x:c>
      <x:c r="M140" s="6" t="n">
        <x:v>390624</x:v>
      </x:c>
      <x:c r="N140" s="7" t="n">
        <x:v>0.068</x:v>
      </x:c>
      <x:c r="O140" s="8" t="n">
        <x:v>75.5</x:v>
      </x:c>
    </x:row>
    <x:row r="141">
      <x:c r="A141" s="4" t="n">
        <x:v>45992</x:v>
      </x:c>
      <x:c r="B141" t="str">
        <x:v>华东</x:v>
      </x:c>
      <x:c r="C141" t="str">
        <x:v>企业服务</x:v>
      </x:c>
      <x:c r="D141" t="str">
        <x:v>直营</x:v>
      </x:c>
      <x:c r="E141" s="5" t="n">
        <x:v>165</x:v>
      </x:c>
      <x:c r="F141" s="5" t="n">
        <x:v>178</x:v>
      </x:c>
      <x:c r="G141" s="6" t="n">
        <x:v>2232</x:v>
      </x:c>
      <x:c r="H141" s="6" t="n">
        <x:v>397296</x:v>
      </x:c>
      <x:c r="I141" s="6" t="n">
        <x:v>150972</x:v>
      </x:c>
      <x:c r="J141" s="6" t="n">
        <x:v>6123</x:v>
      </x:c>
      <x:c r="K141" s="6" t="n">
        <x:v>37743</x:v>
      </x:c>
      <x:c r="L141" s="6" t="n">
        <x:f>H141-I141-J141-K141</x:f>
        <x:v>202458</x:v>
      </x:c>
      <x:c r="M141" s="6" t="n">
        <x:v>444288</x:v>
      </x:c>
      <x:c r="N141" s="7" t="n">
        <x:v>0.075</x:v>
      </x:c>
      <x:c r="O141" s="8" t="n">
        <x:v>73.7</x:v>
      </x:c>
    </x:row>
    <x:row r="142">
      <x:c r="A142" s="4" t="n">
        <x:v>45992</x:v>
      </x:c>
      <x:c r="B142" t="str">
        <x:v>华东</x:v>
      </x:c>
      <x:c r="C142" t="str">
        <x:v>订阅会员</x:v>
      </x:c>
      <x:c r="D142" t="str">
        <x:v>直营</x:v>
      </x:c>
      <x:c r="E142" s="5" t="n">
        <x:v>182</x:v>
      </x:c>
      <x:c r="F142" s="5" t="n">
        <x:v>264</x:v>
      </x:c>
      <x:c r="G142" s="6" t="n">
        <x:v>279</x:v>
      </x:c>
      <x:c r="H142" s="6" t="n">
        <x:v>73656</x:v>
      </x:c>
      <x:c r="I142" s="6" t="n">
        <x:v>18414</x:v>
      </x:c>
      <x:c r="J142" s="6" t="n">
        <x:v>5449</x:v>
      </x:c>
      <x:c r="K142" s="6" t="n">
        <x:v>6997</x:v>
      </x:c>
      <x:c r="L142" s="6" t="n">
        <x:f>H142-I142-J142-K142</x:f>
        <x:v>42796</x:v>
      </x:c>
      <x:c r="M142" s="6" t="n">
        <x:v>82368</x:v>
      </x:c>
      <x:c r="N142" s="7" t="n">
        <x:v>0.082</x:v>
      </x:c>
      <x:c r="O142" s="8" t="n">
        <x:v>71.9</x:v>
      </x:c>
    </x:row>
    <x:row r="143">
      <x:c r="A143" s="4" t="n">
        <x:v>45992</x:v>
      </x:c>
      <x:c r="B143" t="str">
        <x:v>西部</x:v>
      </x:c>
      <x:c r="C143" t="str">
        <x:v>智能设备</x:v>
      </x:c>
      <x:c r="D143" t="str">
        <x:v>经销商</x:v>
      </x:c>
      <x:c r="E143" s="5" t="n">
        <x:v>170</x:v>
      </x:c>
      <x:c r="F143" s="5" t="n">
        <x:v>247</x:v>
      </x:c>
      <x:c r="G143" s="6" t="n">
        <x:v>1200</x:v>
      </x:c>
      <x:c r="H143" s="6" t="n">
        <x:v>296400</x:v>
      </x:c>
      <x:c r="I143" s="6" t="n">
        <x:v>171912</x:v>
      </x:c>
      <x:c r="J143" s="6" t="n">
        <x:v>12115</x:v>
      </x:c>
      <x:c r="K143" s="6" t="n">
        <x:v>16302</x:v>
      </x:c>
      <x:c r="L143" s="6" t="n">
        <x:f>H143-I143-J143-K143</x:f>
        <x:v>96071</x:v>
      </x:c>
      <x:c r="M143" s="6" t="n">
        <x:v>308256</x:v>
      </x:c>
      <x:c r="N143" s="7" t="n">
        <x:v>0.027999999999999997</x:v>
      </x:c>
      <x:c r="O143" s="8" t="n">
        <x:v>86.6</x:v>
      </x:c>
    </x:row>
    <x:row r="144">
      <x:c r="A144" s="4" t="n">
        <x:v>45992</x:v>
      </x:c>
      <x:c r="B144" t="str">
        <x:v>西部</x:v>
      </x:c>
      <x:c r="C144" t="str">
        <x:v>企业服务</x:v>
      </x:c>
      <x:c r="D144" t="str">
        <x:v>经销商</x:v>
      </x:c>
      <x:c r="E144" s="5" t="n">
        <x:v>134</x:v>
      </x:c>
      <x:c r="F144" s="5" t="n">
        <x:v>145</x:v>
      </x:c>
      <x:c r="G144" s="6" t="n">
        <x:v>2400</x:v>
      </x:c>
      <x:c r="H144" s="6" t="n">
        <x:v>348000</x:v>
      </x:c>
      <x:c r="I144" s="6" t="n">
        <x:v>132240</x:v>
      </x:c>
      <x:c r="J144" s="6" t="n">
        <x:v>3161</x:v>
      </x:c>
      <x:c r="K144" s="6" t="n">
        <x:v>21228</x:v>
      </x:c>
      <x:c r="L144" s="6" t="n">
        <x:f>H144-I144-J144-K144</x:f>
        <x:v>191371</x:v>
      </x:c>
      <x:c r="M144" s="6" t="n">
        <x:v>361920</x:v>
      </x:c>
      <x:c r="N144" s="7" t="n">
        <x:v>0.030999999999999996</x:v>
      </x:c>
      <x:c r="O144" s="8" t="n">
        <x:v>86</x:v>
      </x:c>
    </x:row>
    <x:row r="145">
      <x:c r="A145" s="4" t="n">
        <x:v>45992</x:v>
      </x:c>
      <x:c r="B145" t="str">
        <x:v>西部</x:v>
      </x:c>
      <x:c r="C145" t="str">
        <x:v>订阅会员</x:v>
      </x:c>
      <x:c r="D145" t="str">
        <x:v>经销商</x:v>
      </x:c>
      <x:c r="E145" s="5" t="n">
        <x:v>146</x:v>
      </x:c>
      <x:c r="F145" s="5" t="n">
        <x:v>211</x:v>
      </x:c>
      <x:c r="G145" s="6" t="n">
        <x:v>300</x:v>
      </x:c>
      <x:c r="H145" s="6" t="n">
        <x:v>63300</x:v>
      </x:c>
      <x:c r="I145" s="6" t="n">
        <x:v>15825</x:v>
      </x:c>
      <x:c r="J145" s="6" t="n">
        <x:v>2760</x:v>
      </x:c>
      <x:c r="K145" s="6" t="n">
        <x:v>4241</x:v>
      </x:c>
      <x:c r="L145" s="6" t="n">
        <x:f>H145-I145-J145-K145</x:f>
        <x:v>40474</x:v>
      </x:c>
      <x:c r="M145" s="6" t="n">
        <x:v>65832</x:v>
      </x:c>
      <x:c r="N145" s="7" t="n">
        <x:v>0.033999999999999996</x:v>
      </x:c>
      <x:c r="O145" s="8" t="n">
        <x:v>85.4</x:v>
      </x:c>
    </x:row>
  </x:sheetData>
  <x:conditionalFormatting sqref="L2:L145">
    <x:cfRule type="colorScale" priority="1">
      <x:colorScale>
        <x:cfvo type="min"/>
        <x:cfvo type="percentile" val="50"/>
        <x:cfvo type="max"/>
        <x:color rgb="FFFECACA"/>
        <x:color rgb="FFFEF3C7"/>
        <x:color rgb="FFCCFBF1"/>
      </x:colorScale>
    </x:cfRule>
  </x:conditionalFormatting>
  <x:conditionalFormatting sqref="N2:N145">
    <x:cfRule type="dataBar" priority="2">
      <x:dataBar>
        <x:cfvo type="min"/>
        <x:cfvo type="max"/>
        <x:color rgb="FFD97706"/>
      </x:dataBar>
      <x:extLst>
        <x:ext xmlns:x14="http://schemas.microsoft.com/office/spreadsheetml/2009/9/main" uri="{B025F937-C7B1-47D3-B67F-A62EFF666E3E}">
          <x14:id>{D4CE9371-A85F-96B9-76CE-0B5D2846C38C}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c9521bf6fbbc45e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D4CE9371-A85F-96B9-76CE-0B5D2846C38C}">
            <x14:dataBar gradient="1">
              <x14:cfvo type="min"/>
              <x14:cfvo type="max"/>
              <x14:fillColor rgb="FFD97706"/>
            </x14:dataBar>
          </x14:cfRule>
          <xm:sqref>N2:N145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3.75" hidden="0" customWidth="1"/>
    <x:col min="3" max="3" width="60" hidden="0" customWidth="1"/>
    <x:col min="4" max="4" width="28.75" hidden="0" customWidth="1"/>
  </x:cols>
  <x:sheetData>
    <x:row r="1" ht="42" customHeight="1">
      <x:c r="A1" s="11" t="str">
        <x:v>区域经营复盘 · Agent 测试数据</x:v>
      </x:c>
      <x:c r="B1" s="11"/>
      <x:c r="C1" s="11"/>
      <x:c r="D1" s="11"/>
    </x:row>
    <x:row r="3" ht="25" customHeight="1">
      <x:c r="A3" s="14" t="str">
        <x:v>合成数据｜2025 年 12 个月｜4 个区域｜3 个产品｜144 行经营明细</x:v>
      </x:c>
      <x:c r="B3" s="14"/>
      <x:c r="C3" s="14"/>
      <x:c r="D3" s="14"/>
    </x:row>
    <x:row r="5" ht="26" customHeight="1">
      <x:c r="A5" s="2" t="str">
        <x:v>编号</x:v>
      </x:c>
      <x:c r="B5" s="2" t="str">
        <x:v>测试层级</x:v>
      </x:c>
      <x:c r="C5" s="2" t="str">
        <x:v>可直接复制的问题</x:v>
      </x:c>
      <x:c r="D5" s="2" t="str">
        <x:v>能力观察点</x:v>
      </x:c>
    </x:row>
    <x:row r="6" ht="38" customHeight="1">
      <x:c r="A6" s="24" t="str">
        <x:v>01</x:v>
      </x:c>
      <x:c r="B6" s="25" t="str">
        <x:v>快速体检</x:v>
      </x:c>
      <x:c r="C6" s="33" t="str">
        <x:v>概括 2025 年收入、营业利润、订单量和利润率趋势，指出最值得关注的区域。</x:v>
      </x:c>
      <x:c r="D6" s="26" t="str">
        <x:v>汇总 + 趋势</x:v>
      </x:c>
    </x:row>
    <x:row r="7" ht="38" customHeight="1">
      <x:c r="A7" s="27" t="str">
        <x:v>02</x:v>
      </x:c>
      <x:c r="B7" s="28" t="str">
        <x:v>区域诊断</x:v>
      </x:c>
      <x:c r="C7" s="34" t="str">
        <x:v>哪个区域下半年利润表现恶化最明显？比较上半年与下半年的收入、利润和利润率。</x:v>
      </x:c>
      <x:c r="D7" s="29" t="str">
        <x:v>分组 + 对比</x:v>
      </x:c>
    </x:row>
    <x:row r="8" ht="38" customHeight="1">
      <x:c r="A8" s="27" t="str">
        <x:v>03</x:v>
      </x:c>
      <x:c r="B8" s="28" t="str">
        <x:v>驱动拆解</x:v>
      </x:c>
      <x:c r="C8" s="34" t="str">
        <x:v>深入分析华东区下半年利润恶化的原因，量化收入、成本、物流、营销和产品结构的影响。</x:v>
      </x:c>
      <x:c r="D8" s="29" t="str">
        <x:v>归因分析</x:v>
      </x:c>
    </x:row>
    <x:row r="9" ht="38" customHeight="1">
      <x:c r="A9" s="27" t="str">
        <x:v>04</x:v>
      </x:c>
      <x:c r="B9" s="28" t="str">
        <x:v>产品分析</x:v>
      </x:c>
      <x:c r="C9" s="34" t="str">
        <x:v>华东区哪个产品对利润下降贡献最大？给出产品级证据。</x:v>
      </x:c>
      <x:c r="D9" s="29" t="str">
        <x:v>下钻</x:v>
      </x:c>
    </x:row>
    <x:row r="10" ht="38" customHeight="1">
      <x:c r="A10" s="27" t="str">
        <x:v>05</x:v>
      </x:c>
      <x:c r="B10" s="28" t="str">
        <x:v>客户信号</x:v>
      </x:c>
      <x:c r="C10" s="34" t="str">
        <x:v>退货率和满意度是否与利润变化同步？按区域和月份验证。</x:v>
      </x:c>
      <x:c r="D10" s="29" t="str">
        <x:v>相关性</x:v>
      </x:c>
    </x:row>
    <x:row r="11" ht="38" customHeight="1">
      <x:c r="A11" s="27" t="str">
        <x:v>06</x:v>
      </x:c>
      <x:c r="B11" s="28" t="str">
        <x:v>目标达成</x:v>
      </x:c>
      <x:c r="C11" s="34" t="str">
        <x:v>哪些区域和产品没有完成收入目标？计算目标达成率并排序。</x:v>
      </x:c>
      <x:c r="D11" s="29" t="str">
        <x:v>目标差异</x:v>
      </x:c>
    </x:row>
    <x:row r="12" ht="38" customHeight="1">
      <x:c r="A12" s="27" t="str">
        <x:v>07</x:v>
      </x:c>
      <x:c r="B12" s="28" t="str">
        <x:v>异常检测</x:v>
      </x:c>
      <x:c r="C12" s="34" t="str">
        <x:v>识别数据中最明显的异常月份或异常组合，并解释判断依据。</x:v>
      </x:c>
      <x:c r="D12" s="29" t="str">
        <x:v>异常识别</x:v>
      </x:c>
    </x:row>
    <x:row r="13" ht="38" customHeight="1">
      <x:c r="A13" s="30" t="str">
        <x:v>08</x:v>
      </x:c>
      <x:c r="B13" s="31" t="str">
        <x:v>管理报告</x:v>
      </x:c>
      <x:c r="C13" s="35" t="str">
        <x:v>生成一份管理层经营复盘：关键结论、证据表、趋势图、风险和三条行动建议。</x:v>
      </x:c>
      <x:c r="D13" s="32" t="str">
        <x:v>综合报告</x:v>
      </x:c>
    </x:row>
    <x:row r="16">
      <x:c r="A16" s="37" t="str">
        <x:v>字段</x:v>
      </x:c>
      <x:c r="B16" s="37" t="str">
        <x:v>中文含义</x:v>
      </x:c>
      <x:c r="C16" s="37" t="str">
        <x:v>类型</x:v>
      </x:c>
      <x:c r="D16" s="37" t="str">
        <x:v>说明</x:v>
      </x:c>
    </x:row>
    <x:row r="17">
      <x:c r="A17" s="15" t="str">
        <x:v>month</x:v>
      </x:c>
      <x:c r="B17" s="16" t="str">
        <x:v>月份</x:v>
      </x:c>
      <x:c r="C17" s="16" t="str">
        <x:v>日期</x:v>
      </x:c>
      <x:c r="D17" s="17" t="str">
        <x:v>2025-01-01 至 2025-12-01</x:v>
      </x:c>
    </x:row>
    <x:row r="18">
      <x:c r="A18" s="18" t="str">
        <x:v>region</x:v>
      </x:c>
      <x:c r="B18" s="19" t="str">
        <x:v>区域</x:v>
      </x:c>
      <x:c r="C18" s="19" t="str">
        <x:v>文本</x:v>
      </x:c>
      <x:c r="D18" s="20" t="str">
        <x:v>华北、华南、华东、西部</x:v>
      </x:c>
    </x:row>
    <x:row r="19">
      <x:c r="A19" s="18" t="str">
        <x:v>product</x:v>
      </x:c>
      <x:c r="B19" s="19" t="str">
        <x:v>产品</x:v>
      </x:c>
      <x:c r="C19" s="19" t="str">
        <x:v>文本</x:v>
      </x:c>
      <x:c r="D19" s="20" t="str">
        <x:v>智能设备、企业服务、订阅会员</x:v>
      </x:c>
    </x:row>
    <x:row r="20">
      <x:c r="A20" s="18" t="str">
        <x:v>channel</x:v>
      </x:c>
      <x:c r="B20" s="19" t="str">
        <x:v>渠道</x:v>
      </x:c>
      <x:c r="C20" s="19" t="str">
        <x:v>文本</x:v>
      </x:c>
      <x:c r="D20" s="20" t="str">
        <x:v>直营、经销商、线上</x:v>
      </x:c>
    </x:row>
    <x:row r="21">
      <x:c r="A21" s="18" t="str">
        <x:v>orders</x:v>
      </x:c>
      <x:c r="B21" s="19" t="str">
        <x:v>订单数</x:v>
      </x:c>
      <x:c r="C21" s="19" t="str">
        <x:v>整数</x:v>
      </x:c>
      <x:c r="D21" s="20" t="str">
        <x:v>当月订单量</x:v>
      </x:c>
    </x:row>
    <x:row r="22">
      <x:c r="A22" s="18" t="str">
        <x:v>units</x:v>
      </x:c>
      <x:c r="B22" s="19" t="str">
        <x:v>销售量</x:v>
      </x:c>
      <x:c r="C22" s="19" t="str">
        <x:v>整数</x:v>
      </x:c>
      <x:c r="D22" s="20" t="str">
        <x:v>当月销售单位数</x:v>
      </x:c>
    </x:row>
    <x:row r="23">
      <x:c r="A23" s="18" t="str">
        <x:v>avg_price</x:v>
      </x:c>
      <x:c r="B23" s="19" t="str">
        <x:v>平均单价</x:v>
      </x:c>
      <x:c r="C23" s="19" t="str">
        <x:v>人民币</x:v>
      </x:c>
      <x:c r="D23" s="20" t="str">
        <x:v>实际成交均价</x:v>
      </x:c>
    </x:row>
    <x:row r="24">
      <x:c r="A24" s="18" t="str">
        <x:v>revenue</x:v>
      </x:c>
      <x:c r="B24" s="19" t="str">
        <x:v>收入</x:v>
      </x:c>
      <x:c r="C24" s="19" t="str">
        <x:v>人民币</x:v>
      </x:c>
      <x:c r="D24" s="20" t="str">
        <x:v>销售量 × 平均单价</x:v>
      </x:c>
    </x:row>
    <x:row r="25">
      <x:c r="A25" s="18" t="str">
        <x:v>cogs</x:v>
      </x:c>
      <x:c r="B25" s="19" t="str">
        <x:v>销售成本</x:v>
      </x:c>
      <x:c r="C25" s="19" t="str">
        <x:v>人民币</x:v>
      </x:c>
      <x:c r="D25" s="20" t="str">
        <x:v>产品直接成本</x:v>
      </x:c>
    </x:row>
    <x:row r="26">
      <x:c r="A26" s="18" t="str">
        <x:v>logistics_cost</x:v>
      </x:c>
      <x:c r="B26" s="19" t="str">
        <x:v>物流成本</x:v>
      </x:c>
      <x:c r="C26" s="19" t="str">
        <x:v>人民币</x:v>
      </x:c>
      <x:c r="D26" s="20" t="str">
        <x:v>仓储与配送成本</x:v>
      </x:c>
    </x:row>
    <x:row r="27">
      <x:c r="A27" s="18" t="str">
        <x:v>marketing_cost</x:v>
      </x:c>
      <x:c r="B27" s="19" t="str">
        <x:v>营销费用</x:v>
      </x:c>
      <x:c r="C27" s="19" t="str">
        <x:v>人民币</x:v>
      </x:c>
      <x:c r="D27" s="20" t="str">
        <x:v>市场投放与促销费用</x:v>
      </x:c>
    </x:row>
    <x:row r="28">
      <x:c r="A28" s="18" t="str">
        <x:v>operating_profit</x:v>
      </x:c>
      <x:c r="B28" s="19" t="str">
        <x:v>营业利润</x:v>
      </x:c>
      <x:c r="C28" s="19" t="str">
        <x:v>人民币</x:v>
      </x:c>
      <x:c r="D28" s="20" t="str">
        <x:v>收入减销售、物流和营销成本</x:v>
      </x:c>
    </x:row>
    <x:row r="29">
      <x:c r="A29" s="18" t="str">
        <x:v>target_revenue</x:v>
      </x:c>
      <x:c r="B29" s="19" t="str">
        <x:v>目标收入</x:v>
      </x:c>
      <x:c r="C29" s="19" t="str">
        <x:v>人民币</x:v>
      </x:c>
      <x:c r="D29" s="20" t="str">
        <x:v>预算目标</x:v>
      </x:c>
    </x:row>
    <x:row r="30">
      <x:c r="A30" s="18" t="str">
        <x:v>return_rate</x:v>
      </x:c>
      <x:c r="B30" s="19" t="str">
        <x:v>退货率</x:v>
      </x:c>
      <x:c r="C30" s="19" t="str">
        <x:v>百分比</x:v>
      </x:c>
      <x:c r="D30" s="20" t="str">
        <x:v>当月退货比例</x:v>
      </x:c>
    </x:row>
    <x:row r="31">
      <x:c r="A31" s="21" t="str">
        <x:v>satisfaction_score</x:v>
      </x:c>
      <x:c r="B31" s="22" t="str">
        <x:v>满意度</x:v>
      </x:c>
      <x:c r="C31" s="22" t="str">
        <x:v>0-100</x:v>
      </x:c>
      <x:c r="D31" s="23" t="str">
        <x:v>客户满意度评分</x:v>
      </x:c>
    </x:row>
  </x:sheetData>
  <x:mergeCells>
    <x:mergeCell ref="A1:D1"/>
    <x:mergeCell ref="A3:D3"/>
  </x:mergeCells>
  <x:pageMargins left="0.7" right="0.7" top="0.75" bottom="0.75" header="0.3" footer="0.3"/>
</x:worksheet>
</file>